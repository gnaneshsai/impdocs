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CM\"/>
    </mc:Choice>
  </mc:AlternateContent>
  <bookViews>
    <workbookView xWindow="0" yWindow="0" windowWidth="19200" windowHeight="12885" activeTab="4"/>
  </bookViews>
  <sheets>
    <sheet name="Input" sheetId="10" r:id="rId1"/>
    <sheet name="Files" sheetId="4" r:id="rId2"/>
    <sheet name="Directories" sheetId="9" r:id="rId3"/>
    <sheet name="DA-DCAMapping" sheetId="5" r:id="rId4"/>
    <sheet name="FindFilesForAct" sheetId="11" r:id="rId5"/>
    <sheet name="StateSortOrder" sheetId="7" r:id="rId6"/>
  </sheets>
  <functionGroups builtInGroupCount="18"/>
  <definedNames>
    <definedName name="_xlnm._FilterDatabase" localSheetId="3" hidden="1">'DA-DCAMapping'!$A$1:$G$35</definedName>
    <definedName name="_xlnm._FilterDatabase" localSheetId="2" hidden="1">Directories!$A$1:$D$368</definedName>
    <definedName name="_xlnm._FilterDatabase" localSheetId="1" hidden="1">Files!$A$1:$I$402</definedName>
    <definedName name="_xlnm._FilterDatabase" localSheetId="4" hidden="1">FindFilesForAct!$A$1:$AJ$2</definedName>
  </definedNames>
  <calcPr calcId="152511"/>
</workbook>
</file>

<file path=xl/calcChain.xml><?xml version="1.0" encoding="utf-8"?>
<calcChain xmlns="http://schemas.openxmlformats.org/spreadsheetml/2006/main">
  <c r="AJ2" i="11" l="1"/>
  <c r="G2" i="5" l="1"/>
  <c r="I2" i="4" l="1"/>
  <c r="D2" i="9"/>
  <c r="G2" i="4" l="1"/>
  <c r="H2" i="4"/>
  <c r="W2" i="11" l="1"/>
  <c r="AA2" i="11" s="1"/>
  <c r="X2" i="11" l="1"/>
  <c r="Y2" i="11" s="1"/>
  <c r="Z2" i="11" s="1"/>
  <c r="AD2" i="11"/>
  <c r="AE2" i="11" s="1"/>
  <c r="AF2" i="11" s="1"/>
  <c r="AB2" i="11" l="1"/>
  <c r="AG2" i="11"/>
  <c r="AH2" i="11" s="1"/>
  <c r="AC2" i="11" l="1"/>
  <c r="AI2" i="11" s="1"/>
</calcChain>
</file>

<file path=xl/comments1.xml><?xml version="1.0" encoding="utf-8"?>
<comments xmlns="http://schemas.openxmlformats.org/spreadsheetml/2006/main">
  <authors>
    <author>Koustubh Redkar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Koustubh Redkar:</t>
        </r>
        <r>
          <rPr>
            <sz val="9"/>
            <color indexed="81"/>
            <rFont val="Tahoma"/>
            <family val="2"/>
          </rPr>
          <t xml:space="preserve">
Provide full file path of DA DCA CQ query output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Koustubh Redkar:</t>
        </r>
        <r>
          <rPr>
            <sz val="9"/>
            <color indexed="81"/>
            <rFont val="Tahoma"/>
            <family val="2"/>
          </rPr>
          <t xml:space="preserve">
Provide full path of FindFilesForActivities Output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Koustubh Redkar:</t>
        </r>
        <r>
          <rPr>
            <sz val="9"/>
            <color indexed="81"/>
            <rFont val="Tahoma"/>
            <family val="2"/>
          </rPr>
          <t xml:space="preserve">
Provide a parking DCA id for versions that need to be moved out</t>
        </r>
      </text>
    </comment>
  </commentList>
</comments>
</file>

<file path=xl/comments2.xml><?xml version="1.0" encoding="utf-8"?>
<comments xmlns="http://schemas.openxmlformats.org/spreadsheetml/2006/main">
  <authors>
    <author>Koustubh Redkar</author>
  </authors>
  <commentList>
    <comment ref="Y1" authorId="0" shapeId="0">
      <text>
        <r>
          <rPr>
            <b/>
            <sz val="9"/>
            <color rgb="FF000000"/>
            <rFont val="Tahoma"/>
            <family val="2"/>
          </rPr>
          <t>Koustubh Redkar:</t>
        </r>
        <r>
          <rPr>
            <sz val="9"/>
            <color rgb="FF000000"/>
            <rFont val="Tahoma"/>
            <family val="2"/>
          </rPr>
          <t xml:space="preserve">
#N/A indicates that this has not been supplied as part of the baselining list</t>
        </r>
      </text>
    </comment>
    <comment ref="AE1" authorId="0" shapeId="0">
      <text>
        <r>
          <rPr>
            <b/>
            <sz val="9"/>
            <color rgb="FF000000"/>
            <rFont val="Tahoma"/>
            <family val="2"/>
          </rPr>
          <t>Koustubh Redkar:</t>
        </r>
        <r>
          <rPr>
            <sz val="9"/>
            <color rgb="FF000000"/>
            <rFont val="Tahoma"/>
            <family val="2"/>
          </rPr>
          <t xml:space="preserve">
#N/A indicates that this has not been supplied as part of the baselining list</t>
        </r>
      </text>
    </comment>
  </commentList>
</comments>
</file>

<file path=xl/sharedStrings.xml><?xml version="1.0" encoding="utf-8"?>
<sst xmlns="http://schemas.openxmlformats.org/spreadsheetml/2006/main" count="66" uniqueCount="62">
  <si>
    <t>Dev Activity ID</t>
  </si>
  <si>
    <t>DCA ID</t>
  </si>
  <si>
    <t>dbid</t>
  </si>
  <si>
    <t>id</t>
  </si>
  <si>
    <t>Headline</t>
  </si>
  <si>
    <t>DevelopmentChange.id</t>
  </si>
  <si>
    <t>DevelopmentChange.Headline</t>
  </si>
  <si>
    <t>DevelopmentChange.State</t>
  </si>
  <si>
    <t>State</t>
  </si>
  <si>
    <t>Present in FindFilesforActivities</t>
  </si>
  <si>
    <t>Sort_Order</t>
  </si>
  <si>
    <t>DA ID</t>
  </si>
  <si>
    <t>Parking DCA ID</t>
  </si>
  <si>
    <t>Directory Name</t>
  </si>
  <si>
    <t>Present in Find Files for Activities</t>
  </si>
  <si>
    <t>DA - DCA For Cleanup</t>
  </si>
  <si>
    <t>FindFilesForActivities</t>
  </si>
  <si>
    <t>Solution Development ID</t>
  </si>
  <si>
    <t>Solution Development Headline</t>
  </si>
  <si>
    <t>Development ID</t>
  </si>
  <si>
    <t>Development Headline</t>
  </si>
  <si>
    <t>Development Change ID</t>
  </si>
  <si>
    <t>Development Change Headline</t>
  </si>
  <si>
    <t>Element Stream</t>
  </si>
  <si>
    <t>Element Path</t>
  </si>
  <si>
    <t>Element Extended Path</t>
  </si>
  <si>
    <t>Element Version</t>
  </si>
  <si>
    <t>Element is a directory</t>
  </si>
  <si>
    <t>Is latest version</t>
  </si>
  <si>
    <t>Is Not Uncatalogued</t>
  </si>
  <si>
    <t>To DA ID (File)</t>
  </si>
  <si>
    <t>Same as existing DA (File)</t>
  </si>
  <si>
    <t>To DCA ID (File)</t>
  </si>
  <si>
    <t>DA Requested For Baseline</t>
  </si>
  <si>
    <t>Version to be moved out from DCA (file)</t>
  </si>
  <si>
    <t>Final - To DCA ID (File)</t>
  </si>
  <si>
    <t>To DA ID (Dir)</t>
  </si>
  <si>
    <t>Same as existing DA (Dir)</t>
  </si>
  <si>
    <t>To DCA ID (Dir)</t>
  </si>
  <si>
    <t>Version to be moved out from DCA (Dir)</t>
  </si>
  <si>
    <t>Final - To DCA ID (Dir)</t>
  </si>
  <si>
    <t>Final - To DCA ID</t>
  </si>
  <si>
    <t>Base Folder</t>
  </si>
  <si>
    <t>Top Level Folder</t>
  </si>
  <si>
    <t>File with Full Path</t>
  </si>
  <si>
    <t>Project</t>
  </si>
  <si>
    <t>FileName</t>
  </si>
  <si>
    <t>Eclipse Project</t>
  </si>
  <si>
    <t>File Name</t>
  </si>
  <si>
    <t>Version number</t>
  </si>
  <si>
    <t>DCA Owner</t>
  </si>
  <si>
    <t>Defect ID</t>
  </si>
  <si>
    <t>Defect Headline</t>
  </si>
  <si>
    <t>Development State</t>
  </si>
  <si>
    <t>DevelopmentChange.State Sort Order</t>
  </si>
  <si>
    <t>Development Change State</t>
  </si>
  <si>
    <t>Started</t>
  </si>
  <si>
    <t>Developed</t>
  </si>
  <si>
    <t>Assigned</t>
  </si>
  <si>
    <t>uncatalogue version</t>
  </si>
  <si>
    <t>C:\ccviews\T2_SW_Dev\t2_sw_code\IAMAndSecurity\CPNCPMigrateAccountPortal\src\tx\oag\cs\txcses\security\cpncp\portlet\migratet1useraccount\CPNCPAttorneyAlreadyMigratedView.java</t>
  </si>
  <si>
    <t>T2PRDnnnnnnnn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</si>
</sst>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FF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9" fillId="0" borderId="1" applyNumberFormat="0" applyFill="0" applyAlignment="0" applyProtection="0"/>
    <xf numFmtId="0" fontId="10" fillId="0" borderId="2" applyNumberFormat="0" applyFill="0" applyAlignment="0" applyProtection="0"/>
    <xf numFmtId="0" fontId="11" fillId="0" borderId="3" applyNumberFormat="0" applyFill="0" applyAlignment="0" applyProtection="0"/>
    <xf numFmtId="0" fontId="11" fillId="0" borderId="0" applyNumberFormat="0" applyFill="0" applyBorder="0" applyAlignment="0" applyProtection="0"/>
    <xf numFmtId="0" fontId="12" fillId="6" borderId="0" applyNumberFormat="0" applyBorder="0" applyAlignment="0" applyProtection="0"/>
    <xf numFmtId="0" fontId="13" fillId="7" borderId="0" applyNumberFormat="0" applyBorder="0" applyAlignment="0" applyProtection="0"/>
    <xf numFmtId="0" fontId="14" fillId="8" borderId="0" applyNumberFormat="0" applyBorder="0" applyAlignment="0" applyProtection="0"/>
    <xf numFmtId="0" fontId="15" fillId="9" borderId="4" applyNumberFormat="0" applyAlignment="0" applyProtection="0"/>
    <xf numFmtId="0" fontId="16" fillId="10" borderId="5" applyNumberFormat="0" applyAlignment="0" applyProtection="0"/>
    <xf numFmtId="0" fontId="17" fillId="10" borderId="4" applyNumberFormat="0" applyAlignment="0" applyProtection="0"/>
    <xf numFmtId="0" fontId="18" fillId="0" borderId="6" applyNumberFormat="0" applyFill="0" applyAlignment="0" applyProtection="0"/>
    <xf numFmtId="0" fontId="19" fillId="11" borderId="7" applyNumberFormat="0" applyAlignment="0" applyProtection="0"/>
    <xf numFmtId="0" fontId="20" fillId="0" borderId="0" applyNumberFormat="0" applyFill="0" applyBorder="0" applyAlignment="0" applyProtection="0"/>
    <xf numFmtId="0" fontId="8" fillId="12" borderId="8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22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22" fillId="36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2" fillId="3" borderId="0" xfId="0" applyFont="1" applyFill="1" applyBorder="1"/>
    <xf numFmtId="0" fontId="0" fillId="4" borderId="0" xfId="0" applyFill="1"/>
    <xf numFmtId="0" fontId="0" fillId="5" borderId="0" xfId="0" applyFill="1"/>
    <xf numFmtId="0" fontId="0" fillId="37" borderId="0" xfId="0" applyFont="1" applyFill="1"/>
    <xf numFmtId="0" fontId="0" fillId="37" borderId="0" xfId="0" applyFill="1"/>
    <xf numFmtId="0" fontId="0" fillId="0" borderId="0" xfId="0"/>
    <xf numFmtId="0" fontId="2" fillId="38" borderId="0" xfId="0" applyFont="1" applyFill="1" applyBorder="1"/>
    <xf numFmtId="0" fontId="0" fillId="39" borderId="0" xfId="0" applyFill="1"/>
    <xf numFmtId="0" fontId="0" fillId="0" borderId="0" xfId="0" applyFill="1"/>
    <xf numFmtId="0" fontId="24" fillId="0" borderId="0" xfId="0" applyFont="1"/>
  </cellXfs>
  <cellStyles count="42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19050</xdr:rowOff>
        </xdr:from>
        <xdr:to>
          <xdr:col>2</xdr:col>
          <xdr:colOff>2466975</xdr:colOff>
          <xdr:row>10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3:C5"/>
  <sheetViews>
    <sheetView workbookViewId="0">
      <selection activeCell="C3" sqref="C3:C5"/>
    </sheetView>
  </sheetViews>
  <sheetFormatPr defaultRowHeight="15" x14ac:dyDescent="0.25"/>
  <cols>
    <col min="2" max="2" width="20.140625" bestFit="1" customWidth="1"/>
    <col min="3" max="3" width="86.7109375" customWidth="1"/>
  </cols>
  <sheetData>
    <row r="3" spans="2:3" x14ac:dyDescent="0.25">
      <c r="B3" t="s">
        <v>15</v>
      </c>
    </row>
    <row r="4" spans="2:3" x14ac:dyDescent="0.25">
      <c r="B4" t="s">
        <v>16</v>
      </c>
    </row>
    <row r="5" spans="2:3" x14ac:dyDescent="0.25">
      <c r="B5" t="s">
        <v>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Analyze_Click">
                <anchor moveWithCells="1" siz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2</xdr:col>
                    <xdr:colOff>2466975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28"/>
  <sheetViews>
    <sheetView workbookViewId="0">
      <selection activeCell="A2" sqref="A2:B2"/>
    </sheetView>
  </sheetViews>
  <sheetFormatPr defaultRowHeight="15" x14ac:dyDescent="0.25"/>
  <cols>
    <col min="1" max="1" width="24" customWidth="1"/>
    <col min="2" max="2" width="16.28515625" bestFit="1" customWidth="1"/>
    <col min="3" max="3" width="39.42578125" style="7" bestFit="1" customWidth="1"/>
    <col min="4" max="6" width="41.7109375" style="7" customWidth="1"/>
    <col min="7" max="7" width="14.7109375" bestFit="1" customWidth="1"/>
    <col min="9" max="9" width="35.140625" customWidth="1"/>
  </cols>
  <sheetData>
    <row r="1" spans="1:9" x14ac:dyDescent="0.25">
      <c r="A1" s="5" t="s">
        <v>44</v>
      </c>
      <c r="B1" s="6" t="s">
        <v>0</v>
      </c>
      <c r="C1" s="9" t="s">
        <v>46</v>
      </c>
      <c r="D1" s="9" t="s">
        <v>43</v>
      </c>
      <c r="E1" s="9" t="s">
        <v>42</v>
      </c>
      <c r="F1" s="9" t="s">
        <v>45</v>
      </c>
      <c r="G1" s="3" t="s">
        <v>1</v>
      </c>
      <c r="H1" s="3" t="s">
        <v>8</v>
      </c>
      <c r="I1" s="3" t="s">
        <v>9</v>
      </c>
    </row>
    <row r="2" spans="1:9" x14ac:dyDescent="0.25">
      <c r="A2" s="11" t="s">
        <v>60</v>
      </c>
      <c r="B2" s="11" t="s">
        <v>61</v>
      </c>
      <c r="C2"/>
      <c r="D2"/>
      <c r="E2"/>
      <c r="F2"/>
      <c r="G2" t="e">
        <f>VLOOKUP(B2, 'DA-DCAMapping'!B:F, 3, FALSE)</f>
        <v>#N/A</v>
      </c>
      <c r="H2" t="e">
        <f>VLOOKUP(B2, 'DA-DCAMapping'!B:F, 5, FALSE)</f>
        <v>#N/A</v>
      </c>
      <c r="I2" t="b">
        <f>NOT(ISNA(VLOOKUP(A2,FindFilesForAct!L:L,1,FALSE)))</f>
        <v>0</v>
      </c>
    </row>
    <row r="3" spans="1:9" x14ac:dyDescent="0.25">
      <c r="A3" s="7"/>
      <c r="B3" s="7"/>
      <c r="C3"/>
      <c r="D3"/>
      <c r="E3"/>
      <c r="F3"/>
    </row>
    <row r="4" spans="1:9" x14ac:dyDescent="0.25">
      <c r="A4" s="7"/>
      <c r="B4" s="7"/>
      <c r="C4"/>
      <c r="D4"/>
      <c r="E4"/>
      <c r="F4"/>
    </row>
    <row r="5" spans="1:9" x14ac:dyDescent="0.25">
      <c r="A5" s="7"/>
      <c r="B5" s="7"/>
      <c r="C5"/>
      <c r="D5"/>
      <c r="E5"/>
      <c r="F5"/>
    </row>
    <row r="6" spans="1:9" x14ac:dyDescent="0.25">
      <c r="A6" s="7"/>
      <c r="B6" s="7"/>
      <c r="C6"/>
      <c r="D6"/>
      <c r="E6"/>
      <c r="F6"/>
    </row>
    <row r="7" spans="1:9" x14ac:dyDescent="0.25">
      <c r="A7" s="7"/>
      <c r="B7" s="7"/>
      <c r="C7"/>
      <c r="D7"/>
      <c r="E7"/>
      <c r="F7"/>
    </row>
    <row r="8" spans="1:9" x14ac:dyDescent="0.25">
      <c r="A8" s="7"/>
      <c r="B8" s="7"/>
      <c r="C8"/>
      <c r="D8"/>
      <c r="E8"/>
      <c r="F8"/>
    </row>
    <row r="9" spans="1:9" x14ac:dyDescent="0.25">
      <c r="A9" s="7"/>
      <c r="B9" s="7"/>
      <c r="C9"/>
      <c r="D9"/>
      <c r="E9"/>
      <c r="F9"/>
    </row>
    <row r="10" spans="1:9" x14ac:dyDescent="0.25">
      <c r="A10" s="7"/>
      <c r="B10" s="7"/>
      <c r="C10"/>
      <c r="D10"/>
      <c r="E10"/>
      <c r="F10"/>
    </row>
    <row r="11" spans="1:9" x14ac:dyDescent="0.25">
      <c r="A11" s="7"/>
      <c r="B11" s="7"/>
      <c r="C11"/>
      <c r="D11"/>
      <c r="E11"/>
      <c r="F11"/>
    </row>
    <row r="12" spans="1:9" x14ac:dyDescent="0.25">
      <c r="A12" s="7"/>
      <c r="B12" s="7"/>
      <c r="C12"/>
      <c r="D12"/>
      <c r="E12"/>
      <c r="F12"/>
    </row>
    <row r="13" spans="1:9" x14ac:dyDescent="0.25">
      <c r="A13" s="7"/>
      <c r="B13" s="7"/>
      <c r="C13"/>
      <c r="D13"/>
      <c r="E13"/>
      <c r="F13"/>
    </row>
    <row r="14" spans="1:9" x14ac:dyDescent="0.25">
      <c r="A14" s="7"/>
      <c r="B14" s="7"/>
      <c r="C14"/>
      <c r="D14"/>
      <c r="E14"/>
      <c r="F14"/>
    </row>
    <row r="15" spans="1:9" x14ac:dyDescent="0.25">
      <c r="A15" s="7"/>
      <c r="B15" s="7"/>
      <c r="C15"/>
      <c r="D15"/>
      <c r="E15"/>
      <c r="F15"/>
    </row>
    <row r="16" spans="1:9" x14ac:dyDescent="0.25">
      <c r="A16" s="7"/>
      <c r="B16" s="7"/>
      <c r="C16"/>
      <c r="D16"/>
      <c r="E16"/>
      <c r="F16"/>
    </row>
    <row r="17" spans="1:6" x14ac:dyDescent="0.25">
      <c r="A17" s="7"/>
      <c r="B17" s="7"/>
      <c r="C17"/>
      <c r="D17"/>
      <c r="E17"/>
      <c r="F17"/>
    </row>
    <row r="18" spans="1:6" x14ac:dyDescent="0.25">
      <c r="A18" s="7"/>
      <c r="B18" s="7"/>
      <c r="C18"/>
      <c r="D18"/>
      <c r="E18"/>
      <c r="F18"/>
    </row>
    <row r="19" spans="1:6" x14ac:dyDescent="0.25">
      <c r="A19" s="7"/>
      <c r="B19" s="7"/>
      <c r="C19"/>
      <c r="D19"/>
      <c r="E19"/>
      <c r="F19"/>
    </row>
    <row r="20" spans="1:6" x14ac:dyDescent="0.25">
      <c r="A20" s="7"/>
      <c r="B20" s="7"/>
      <c r="C20"/>
      <c r="D20"/>
      <c r="E20"/>
      <c r="F20"/>
    </row>
    <row r="21" spans="1:6" x14ac:dyDescent="0.25">
      <c r="A21" s="7"/>
      <c r="B21" s="7"/>
      <c r="C21"/>
      <c r="D21"/>
      <c r="E21"/>
      <c r="F21"/>
    </row>
    <row r="22" spans="1:6" x14ac:dyDescent="0.25">
      <c r="A22" s="7"/>
      <c r="B22" s="7"/>
      <c r="C22"/>
      <c r="D22"/>
      <c r="E22"/>
      <c r="F22"/>
    </row>
    <row r="23" spans="1:6" x14ac:dyDescent="0.25">
      <c r="A23" s="7"/>
      <c r="B23" s="7"/>
      <c r="C23"/>
      <c r="D23"/>
      <c r="E23"/>
      <c r="F23"/>
    </row>
    <row r="24" spans="1:6" x14ac:dyDescent="0.25">
      <c r="A24" s="7"/>
      <c r="B24" s="7"/>
      <c r="C24"/>
      <c r="D24"/>
      <c r="E24"/>
      <c r="F24"/>
    </row>
    <row r="25" spans="1:6" x14ac:dyDescent="0.25">
      <c r="A25" s="7"/>
      <c r="B25" s="7"/>
      <c r="C25"/>
      <c r="D25"/>
      <c r="E25"/>
      <c r="F25"/>
    </row>
    <row r="26" spans="1:6" x14ac:dyDescent="0.25">
      <c r="A26" s="7"/>
      <c r="B26" s="7"/>
      <c r="C26"/>
      <c r="D26"/>
      <c r="E26"/>
      <c r="F26"/>
    </row>
    <row r="27" spans="1:6" x14ac:dyDescent="0.25">
      <c r="A27" s="7"/>
      <c r="B27" s="7"/>
      <c r="C27"/>
      <c r="D27"/>
      <c r="E27"/>
      <c r="F27"/>
    </row>
    <row r="28" spans="1:6" x14ac:dyDescent="0.25">
      <c r="A28" s="7"/>
      <c r="B28" s="7"/>
      <c r="C28"/>
      <c r="D28"/>
      <c r="E28"/>
      <c r="F28"/>
    </row>
    <row r="29" spans="1:6" x14ac:dyDescent="0.25">
      <c r="A29" s="7"/>
      <c r="B29" s="7"/>
      <c r="C29"/>
      <c r="D29"/>
      <c r="E29"/>
      <c r="F29"/>
    </row>
    <row r="30" spans="1:6" x14ac:dyDescent="0.25">
      <c r="A30" s="7"/>
      <c r="B30" s="7"/>
      <c r="C30"/>
      <c r="D30"/>
      <c r="E30"/>
      <c r="F30"/>
    </row>
    <row r="31" spans="1:6" x14ac:dyDescent="0.25">
      <c r="A31" s="7"/>
      <c r="B31" s="7"/>
      <c r="C31"/>
      <c r="D31"/>
      <c r="E31"/>
      <c r="F31"/>
    </row>
    <row r="32" spans="1:6" x14ac:dyDescent="0.25">
      <c r="A32" s="7"/>
      <c r="B32" s="7"/>
      <c r="C32"/>
      <c r="D32"/>
      <c r="E32"/>
      <c r="F32"/>
    </row>
    <row r="33" spans="1:6" x14ac:dyDescent="0.25">
      <c r="A33" s="7"/>
      <c r="B33" s="7"/>
      <c r="C33"/>
      <c r="D33"/>
      <c r="E33"/>
      <c r="F33"/>
    </row>
    <row r="34" spans="1:6" x14ac:dyDescent="0.25">
      <c r="A34" s="7"/>
      <c r="B34" s="7"/>
      <c r="C34"/>
      <c r="D34"/>
      <c r="E34"/>
      <c r="F34"/>
    </row>
    <row r="35" spans="1:6" x14ac:dyDescent="0.25">
      <c r="A35" s="7"/>
      <c r="B35" s="7"/>
      <c r="C35"/>
      <c r="D35"/>
      <c r="E35"/>
      <c r="F35"/>
    </row>
    <row r="36" spans="1:6" x14ac:dyDescent="0.25">
      <c r="A36" s="7"/>
      <c r="B36" s="7"/>
      <c r="C36"/>
      <c r="D36"/>
      <c r="E36"/>
      <c r="F36"/>
    </row>
    <row r="37" spans="1:6" x14ac:dyDescent="0.25">
      <c r="A37" s="7"/>
      <c r="B37" s="7"/>
      <c r="C37"/>
      <c r="D37"/>
      <c r="E37"/>
      <c r="F37"/>
    </row>
    <row r="38" spans="1:6" x14ac:dyDescent="0.25">
      <c r="A38" s="7"/>
      <c r="B38" s="7"/>
      <c r="C38"/>
      <c r="D38"/>
      <c r="E38"/>
      <c r="F38"/>
    </row>
    <row r="39" spans="1:6" x14ac:dyDescent="0.25">
      <c r="A39" s="7"/>
      <c r="B39" s="7"/>
      <c r="C39"/>
      <c r="D39"/>
      <c r="E39"/>
      <c r="F39"/>
    </row>
    <row r="40" spans="1:6" x14ac:dyDescent="0.25">
      <c r="A40" s="7"/>
      <c r="B40" s="7"/>
      <c r="C40"/>
      <c r="D40"/>
      <c r="E40"/>
      <c r="F40"/>
    </row>
    <row r="41" spans="1:6" x14ac:dyDescent="0.25">
      <c r="A41" s="7"/>
      <c r="B41" s="7"/>
      <c r="C41"/>
      <c r="D41"/>
      <c r="E41"/>
      <c r="F41"/>
    </row>
    <row r="42" spans="1:6" x14ac:dyDescent="0.25">
      <c r="A42" s="7"/>
      <c r="B42" s="7"/>
      <c r="C42"/>
      <c r="D42"/>
      <c r="E42"/>
      <c r="F42"/>
    </row>
    <row r="43" spans="1:6" x14ac:dyDescent="0.25">
      <c r="A43" s="7"/>
      <c r="B43" s="7"/>
      <c r="C43"/>
      <c r="D43"/>
      <c r="E43"/>
      <c r="F43"/>
    </row>
    <row r="44" spans="1:6" x14ac:dyDescent="0.25">
      <c r="A44" s="7"/>
      <c r="B44" s="7"/>
      <c r="C44"/>
      <c r="D44"/>
      <c r="E44"/>
      <c r="F44"/>
    </row>
    <row r="45" spans="1:6" x14ac:dyDescent="0.25">
      <c r="A45" s="7"/>
      <c r="B45" s="7"/>
      <c r="C45"/>
      <c r="D45"/>
      <c r="E45"/>
      <c r="F45"/>
    </row>
    <row r="46" spans="1:6" x14ac:dyDescent="0.25">
      <c r="A46" s="7"/>
      <c r="B46" s="7"/>
      <c r="C46"/>
      <c r="D46"/>
      <c r="E46"/>
      <c r="F46"/>
    </row>
    <row r="47" spans="1:6" x14ac:dyDescent="0.25">
      <c r="A47" s="7"/>
      <c r="B47" s="7"/>
      <c r="C47"/>
      <c r="D47"/>
      <c r="E47"/>
      <c r="F47"/>
    </row>
    <row r="48" spans="1:6" x14ac:dyDescent="0.25">
      <c r="A48" s="7"/>
      <c r="B48" s="7"/>
      <c r="C48"/>
      <c r="D48"/>
      <c r="E48"/>
      <c r="F48"/>
    </row>
    <row r="49" spans="1:6" x14ac:dyDescent="0.25">
      <c r="A49" s="7"/>
      <c r="B49" s="7"/>
      <c r="C49"/>
      <c r="D49"/>
      <c r="E49"/>
      <c r="F49"/>
    </row>
    <row r="50" spans="1:6" x14ac:dyDescent="0.25">
      <c r="A50" s="7"/>
      <c r="B50" s="7"/>
      <c r="C50"/>
      <c r="D50"/>
      <c r="E50"/>
      <c r="F50"/>
    </row>
    <row r="51" spans="1:6" x14ac:dyDescent="0.25">
      <c r="A51" s="7"/>
      <c r="B51" s="7"/>
      <c r="C51"/>
      <c r="D51"/>
      <c r="E51"/>
      <c r="F51"/>
    </row>
    <row r="52" spans="1:6" x14ac:dyDescent="0.25">
      <c r="A52" s="7"/>
      <c r="B52" s="7"/>
      <c r="C52"/>
      <c r="D52"/>
      <c r="E52"/>
      <c r="F52"/>
    </row>
    <row r="53" spans="1:6" x14ac:dyDescent="0.25">
      <c r="A53" s="7"/>
      <c r="B53" s="7"/>
      <c r="C53"/>
      <c r="D53"/>
      <c r="E53"/>
      <c r="F53"/>
    </row>
    <row r="54" spans="1:6" x14ac:dyDescent="0.25">
      <c r="A54" s="7"/>
      <c r="B54" s="7"/>
      <c r="C54"/>
      <c r="D54"/>
      <c r="E54"/>
      <c r="F54"/>
    </row>
    <row r="55" spans="1:6" x14ac:dyDescent="0.25">
      <c r="A55" s="7"/>
      <c r="B55" s="7"/>
      <c r="C55"/>
      <c r="D55"/>
      <c r="E55"/>
      <c r="F55"/>
    </row>
    <row r="56" spans="1:6" x14ac:dyDescent="0.25">
      <c r="A56" s="7"/>
      <c r="B56" s="7"/>
      <c r="C56"/>
      <c r="D56"/>
      <c r="E56"/>
      <c r="F56"/>
    </row>
    <row r="57" spans="1:6" x14ac:dyDescent="0.25">
      <c r="A57" s="7"/>
      <c r="B57" s="7"/>
      <c r="C57"/>
      <c r="D57"/>
      <c r="E57"/>
      <c r="F57"/>
    </row>
    <row r="58" spans="1:6" x14ac:dyDescent="0.25">
      <c r="A58" s="7"/>
      <c r="B58" s="7"/>
      <c r="C58"/>
      <c r="D58"/>
      <c r="E58"/>
      <c r="F58"/>
    </row>
    <row r="59" spans="1:6" x14ac:dyDescent="0.25">
      <c r="A59" s="7"/>
      <c r="B59" s="7"/>
      <c r="C59"/>
      <c r="D59"/>
      <c r="E59"/>
      <c r="F59"/>
    </row>
    <row r="60" spans="1:6" x14ac:dyDescent="0.25">
      <c r="A60" s="7"/>
      <c r="B60" s="7"/>
      <c r="C60"/>
      <c r="D60"/>
      <c r="E60"/>
      <c r="F60"/>
    </row>
    <row r="61" spans="1:6" x14ac:dyDescent="0.25">
      <c r="A61" s="7"/>
      <c r="B61" s="7"/>
      <c r="C61"/>
      <c r="D61"/>
      <c r="E61"/>
      <c r="F61"/>
    </row>
    <row r="62" spans="1:6" x14ac:dyDescent="0.25">
      <c r="A62" s="7"/>
      <c r="B62" s="7"/>
      <c r="C62"/>
      <c r="D62"/>
      <c r="E62"/>
      <c r="F62"/>
    </row>
    <row r="63" spans="1:6" x14ac:dyDescent="0.25">
      <c r="A63" s="7"/>
      <c r="B63" s="7"/>
      <c r="C63"/>
      <c r="D63"/>
      <c r="E63"/>
      <c r="F63"/>
    </row>
    <row r="64" spans="1:6" x14ac:dyDescent="0.25">
      <c r="A64" s="7"/>
      <c r="B64" s="7"/>
      <c r="C64"/>
      <c r="D64"/>
      <c r="E64"/>
      <c r="F64"/>
    </row>
    <row r="65" spans="1:6" x14ac:dyDescent="0.25">
      <c r="A65" s="7"/>
      <c r="B65" s="7"/>
      <c r="C65"/>
      <c r="D65"/>
      <c r="E65"/>
      <c r="F65"/>
    </row>
    <row r="66" spans="1:6" x14ac:dyDescent="0.25">
      <c r="A66" s="7"/>
      <c r="B66" s="7"/>
      <c r="C66"/>
      <c r="D66"/>
      <c r="E66"/>
      <c r="F66"/>
    </row>
    <row r="67" spans="1:6" x14ac:dyDescent="0.25">
      <c r="A67" s="7"/>
      <c r="B67" s="7"/>
      <c r="C67"/>
      <c r="D67"/>
      <c r="E67"/>
      <c r="F67"/>
    </row>
    <row r="68" spans="1:6" x14ac:dyDescent="0.25">
      <c r="A68" s="7"/>
      <c r="B68" s="7"/>
      <c r="C68"/>
      <c r="D68"/>
      <c r="E68"/>
      <c r="F68"/>
    </row>
    <row r="69" spans="1:6" x14ac:dyDescent="0.25">
      <c r="A69" s="7"/>
      <c r="B69" s="7"/>
      <c r="C69"/>
      <c r="D69"/>
      <c r="E69"/>
      <c r="F69"/>
    </row>
    <row r="70" spans="1:6" x14ac:dyDescent="0.25">
      <c r="A70" s="7"/>
      <c r="B70" s="7"/>
      <c r="C70"/>
      <c r="D70"/>
      <c r="E70"/>
      <c r="F70"/>
    </row>
    <row r="71" spans="1:6" x14ac:dyDescent="0.25">
      <c r="A71" s="7"/>
      <c r="B71" s="7"/>
      <c r="C71"/>
      <c r="D71"/>
      <c r="E71"/>
      <c r="F71"/>
    </row>
    <row r="72" spans="1:6" x14ac:dyDescent="0.25">
      <c r="A72" s="7"/>
      <c r="B72" s="7"/>
      <c r="C72"/>
      <c r="D72"/>
      <c r="E72"/>
      <c r="F72"/>
    </row>
    <row r="73" spans="1:6" x14ac:dyDescent="0.25">
      <c r="A73" s="7"/>
      <c r="B73" s="7"/>
      <c r="C73"/>
      <c r="D73"/>
      <c r="E73"/>
      <c r="F73"/>
    </row>
    <row r="74" spans="1:6" x14ac:dyDescent="0.25">
      <c r="A74" s="7"/>
      <c r="B74" s="7"/>
      <c r="C74"/>
      <c r="D74"/>
      <c r="E74"/>
      <c r="F74"/>
    </row>
    <row r="75" spans="1:6" x14ac:dyDescent="0.25">
      <c r="A75" s="7"/>
      <c r="B75" s="7"/>
      <c r="C75"/>
      <c r="D75"/>
      <c r="E75"/>
      <c r="F75"/>
    </row>
    <row r="76" spans="1:6" x14ac:dyDescent="0.25">
      <c r="A76" s="7"/>
      <c r="B76" s="7"/>
      <c r="C76"/>
      <c r="D76"/>
      <c r="E76"/>
      <c r="F76"/>
    </row>
    <row r="77" spans="1:6" x14ac:dyDescent="0.25">
      <c r="A77" s="7"/>
      <c r="B77" s="7"/>
      <c r="C77"/>
      <c r="D77"/>
      <c r="E77"/>
      <c r="F77"/>
    </row>
    <row r="78" spans="1:6" x14ac:dyDescent="0.25">
      <c r="A78" s="7"/>
      <c r="B78" s="7"/>
      <c r="C78"/>
      <c r="D78"/>
      <c r="E78"/>
      <c r="F78"/>
    </row>
    <row r="79" spans="1:6" x14ac:dyDescent="0.25">
      <c r="A79" s="7"/>
      <c r="B79" s="7"/>
      <c r="C79"/>
      <c r="D79"/>
      <c r="E79"/>
      <c r="F79"/>
    </row>
    <row r="80" spans="1:6" x14ac:dyDescent="0.25">
      <c r="A80" s="7"/>
      <c r="B80" s="7"/>
      <c r="C80"/>
      <c r="D80"/>
      <c r="E80"/>
      <c r="F80"/>
    </row>
    <row r="81" spans="1:6" x14ac:dyDescent="0.25">
      <c r="A81" s="7"/>
      <c r="B81" s="7"/>
      <c r="C81"/>
      <c r="D81"/>
      <c r="E81"/>
      <c r="F81"/>
    </row>
    <row r="82" spans="1:6" x14ac:dyDescent="0.25">
      <c r="A82" s="7"/>
      <c r="B82" s="7"/>
      <c r="C82"/>
      <c r="D82"/>
      <c r="E82"/>
      <c r="F82"/>
    </row>
    <row r="83" spans="1:6" x14ac:dyDescent="0.25">
      <c r="A83" s="7"/>
      <c r="B83" s="7"/>
      <c r="C83"/>
      <c r="D83"/>
      <c r="E83"/>
      <c r="F83"/>
    </row>
    <row r="84" spans="1:6" x14ac:dyDescent="0.25">
      <c r="A84" s="7"/>
      <c r="B84" s="7"/>
      <c r="C84"/>
      <c r="D84"/>
      <c r="E84"/>
      <c r="F84"/>
    </row>
    <row r="85" spans="1:6" x14ac:dyDescent="0.25">
      <c r="A85" s="7"/>
      <c r="B85" s="7"/>
      <c r="C85"/>
      <c r="D85"/>
      <c r="E85"/>
      <c r="F85"/>
    </row>
    <row r="86" spans="1:6" x14ac:dyDescent="0.25">
      <c r="A86" s="7"/>
      <c r="B86" s="7"/>
      <c r="C86"/>
      <c r="D86"/>
      <c r="E86"/>
      <c r="F86"/>
    </row>
    <row r="87" spans="1:6" x14ac:dyDescent="0.25">
      <c r="A87" s="7"/>
      <c r="B87" s="7"/>
      <c r="C87"/>
      <c r="D87"/>
      <c r="E87"/>
      <c r="F87"/>
    </row>
    <row r="88" spans="1:6" x14ac:dyDescent="0.25">
      <c r="A88" s="7"/>
      <c r="B88" s="7"/>
      <c r="C88"/>
      <c r="D88"/>
      <c r="E88"/>
      <c r="F88"/>
    </row>
    <row r="89" spans="1:6" x14ac:dyDescent="0.25">
      <c r="A89" s="7"/>
      <c r="B89" s="7"/>
      <c r="C89"/>
      <c r="D89"/>
      <c r="E89"/>
      <c r="F89"/>
    </row>
    <row r="90" spans="1:6" x14ac:dyDescent="0.25">
      <c r="A90" s="7"/>
      <c r="B90" s="7"/>
      <c r="C90"/>
      <c r="D90"/>
      <c r="E90"/>
      <c r="F90"/>
    </row>
    <row r="91" spans="1:6" x14ac:dyDescent="0.25">
      <c r="A91" s="7"/>
      <c r="B91" s="7"/>
      <c r="C91"/>
      <c r="D91"/>
      <c r="E91"/>
      <c r="F91"/>
    </row>
    <row r="92" spans="1:6" x14ac:dyDescent="0.25">
      <c r="A92" s="7"/>
      <c r="B92" s="7"/>
      <c r="C92"/>
      <c r="D92"/>
      <c r="E92"/>
      <c r="F92"/>
    </row>
    <row r="93" spans="1:6" x14ac:dyDescent="0.25">
      <c r="A93" s="7"/>
      <c r="B93" s="7"/>
      <c r="C93"/>
      <c r="D93"/>
      <c r="E93"/>
      <c r="F93"/>
    </row>
    <row r="94" spans="1:6" x14ac:dyDescent="0.25">
      <c r="A94" s="7"/>
      <c r="B94" s="7"/>
      <c r="C94"/>
      <c r="D94"/>
      <c r="E94"/>
      <c r="F94"/>
    </row>
    <row r="95" spans="1:6" x14ac:dyDescent="0.25">
      <c r="A95" s="7"/>
      <c r="B95" s="7"/>
      <c r="C95"/>
      <c r="D95"/>
      <c r="E95"/>
      <c r="F95"/>
    </row>
    <row r="96" spans="1:6" x14ac:dyDescent="0.25">
      <c r="A96" s="7"/>
      <c r="B96" s="7"/>
      <c r="C96"/>
      <c r="D96"/>
      <c r="E96"/>
      <c r="F96"/>
    </row>
    <row r="97" spans="1:6" x14ac:dyDescent="0.25">
      <c r="A97" s="7"/>
      <c r="B97" s="7"/>
      <c r="C97"/>
      <c r="D97"/>
      <c r="E97"/>
      <c r="F97"/>
    </row>
    <row r="98" spans="1:6" x14ac:dyDescent="0.25">
      <c r="A98" s="7"/>
      <c r="B98" s="7"/>
      <c r="C98"/>
      <c r="D98"/>
      <c r="E98"/>
      <c r="F98"/>
    </row>
    <row r="99" spans="1:6" x14ac:dyDescent="0.25">
      <c r="A99" s="7"/>
      <c r="B99" s="7"/>
      <c r="C99"/>
      <c r="D99"/>
      <c r="E99"/>
      <c r="F99"/>
    </row>
    <row r="100" spans="1:6" x14ac:dyDescent="0.25">
      <c r="A100" s="7"/>
      <c r="B100" s="7"/>
      <c r="C100"/>
      <c r="D100"/>
      <c r="E100"/>
      <c r="F100"/>
    </row>
    <row r="101" spans="1:6" x14ac:dyDescent="0.25">
      <c r="A101" s="7"/>
      <c r="B101" s="7"/>
      <c r="C101"/>
      <c r="D101"/>
      <c r="E101"/>
      <c r="F101"/>
    </row>
    <row r="102" spans="1:6" x14ac:dyDescent="0.25">
      <c r="A102" s="7"/>
      <c r="B102" s="7"/>
      <c r="C102"/>
      <c r="D102"/>
      <c r="E102"/>
      <c r="F102"/>
    </row>
    <row r="103" spans="1:6" x14ac:dyDescent="0.25">
      <c r="A103" s="7"/>
      <c r="B103" s="7"/>
      <c r="C103"/>
      <c r="D103"/>
      <c r="E103"/>
      <c r="F103"/>
    </row>
    <row r="104" spans="1:6" x14ac:dyDescent="0.25">
      <c r="A104" s="7"/>
      <c r="B104" s="7"/>
      <c r="C104"/>
      <c r="D104"/>
      <c r="E104"/>
      <c r="F104"/>
    </row>
    <row r="105" spans="1:6" x14ac:dyDescent="0.25">
      <c r="A105" s="7"/>
      <c r="B105" s="7"/>
      <c r="C105"/>
      <c r="D105"/>
      <c r="E105"/>
      <c r="F105"/>
    </row>
    <row r="106" spans="1:6" x14ac:dyDescent="0.25">
      <c r="A106" s="7"/>
      <c r="B106" s="7"/>
      <c r="C106"/>
      <c r="D106"/>
      <c r="E106"/>
      <c r="F106"/>
    </row>
    <row r="107" spans="1:6" x14ac:dyDescent="0.25">
      <c r="A107" s="7"/>
      <c r="B107" s="7"/>
      <c r="C107"/>
      <c r="D107"/>
      <c r="E107"/>
      <c r="F107"/>
    </row>
    <row r="108" spans="1:6" x14ac:dyDescent="0.25">
      <c r="A108" s="7"/>
      <c r="B108" s="7"/>
      <c r="C108"/>
      <c r="D108"/>
      <c r="E108"/>
      <c r="F108"/>
    </row>
    <row r="109" spans="1:6" x14ac:dyDescent="0.25">
      <c r="A109" s="7"/>
      <c r="B109" s="7"/>
      <c r="C109"/>
      <c r="D109"/>
      <c r="E109"/>
      <c r="F109"/>
    </row>
    <row r="110" spans="1:6" x14ac:dyDescent="0.25">
      <c r="A110" s="7"/>
      <c r="B110" s="7"/>
      <c r="C110"/>
      <c r="D110"/>
      <c r="E110"/>
      <c r="F110"/>
    </row>
    <row r="111" spans="1:6" x14ac:dyDescent="0.25">
      <c r="A111" s="7"/>
      <c r="B111" s="7"/>
      <c r="C111"/>
      <c r="D111"/>
      <c r="E111"/>
      <c r="F111"/>
    </row>
    <row r="112" spans="1:6" x14ac:dyDescent="0.25">
      <c r="A112" s="7"/>
      <c r="B112" s="7"/>
      <c r="C112"/>
      <c r="D112"/>
      <c r="E112"/>
      <c r="F112"/>
    </row>
    <row r="113" spans="1:6" x14ac:dyDescent="0.25">
      <c r="A113" s="7"/>
      <c r="B113" s="7"/>
      <c r="C113"/>
      <c r="D113"/>
      <c r="E113"/>
      <c r="F113"/>
    </row>
    <row r="114" spans="1:6" x14ac:dyDescent="0.25">
      <c r="A114" s="7"/>
      <c r="B114" s="7"/>
      <c r="C114"/>
      <c r="D114"/>
      <c r="E114"/>
      <c r="F114"/>
    </row>
    <row r="115" spans="1:6" x14ac:dyDescent="0.25">
      <c r="A115" s="7"/>
      <c r="B115" s="7"/>
      <c r="C115"/>
      <c r="D115"/>
      <c r="E115"/>
      <c r="F115"/>
    </row>
    <row r="116" spans="1:6" x14ac:dyDescent="0.25">
      <c r="A116" s="7"/>
      <c r="B116" s="7"/>
      <c r="C116"/>
      <c r="D116"/>
      <c r="E116"/>
      <c r="F116"/>
    </row>
    <row r="117" spans="1:6" x14ac:dyDescent="0.25">
      <c r="A117" s="7"/>
      <c r="B117" s="7"/>
      <c r="C117"/>
      <c r="D117"/>
      <c r="E117"/>
      <c r="F117"/>
    </row>
    <row r="118" spans="1:6" x14ac:dyDescent="0.25">
      <c r="A118" s="7"/>
      <c r="B118" s="7"/>
      <c r="C118"/>
      <c r="D118"/>
      <c r="E118"/>
      <c r="F118"/>
    </row>
    <row r="119" spans="1:6" x14ac:dyDescent="0.25">
      <c r="A119" s="7"/>
      <c r="B119" s="7"/>
      <c r="C119"/>
      <c r="D119"/>
      <c r="E119"/>
      <c r="F119"/>
    </row>
    <row r="120" spans="1:6" x14ac:dyDescent="0.25">
      <c r="A120" s="7"/>
      <c r="B120" s="7"/>
      <c r="C120"/>
      <c r="D120"/>
      <c r="E120"/>
      <c r="F120"/>
    </row>
    <row r="121" spans="1:6" x14ac:dyDescent="0.25">
      <c r="A121" s="7"/>
      <c r="B121" s="7"/>
      <c r="C121"/>
      <c r="D121"/>
      <c r="E121"/>
      <c r="F121"/>
    </row>
    <row r="122" spans="1:6" x14ac:dyDescent="0.25">
      <c r="A122" s="7"/>
      <c r="B122" s="7"/>
      <c r="C122"/>
      <c r="D122"/>
      <c r="E122"/>
      <c r="F122"/>
    </row>
    <row r="123" spans="1:6" x14ac:dyDescent="0.25">
      <c r="A123" s="7"/>
      <c r="B123" s="7"/>
      <c r="C123"/>
      <c r="D123"/>
      <c r="E123"/>
      <c r="F123"/>
    </row>
    <row r="124" spans="1:6" x14ac:dyDescent="0.25">
      <c r="A124" s="7"/>
      <c r="B124" s="7"/>
      <c r="C124"/>
      <c r="D124"/>
      <c r="E124"/>
      <c r="F124"/>
    </row>
    <row r="125" spans="1:6" x14ac:dyDescent="0.25">
      <c r="A125" s="7"/>
      <c r="B125" s="7"/>
      <c r="C125"/>
      <c r="D125"/>
      <c r="E125"/>
      <c r="F125"/>
    </row>
    <row r="126" spans="1:6" x14ac:dyDescent="0.25">
      <c r="A126" s="7"/>
      <c r="B126" s="7"/>
      <c r="C126"/>
      <c r="D126"/>
      <c r="E126"/>
      <c r="F126"/>
    </row>
    <row r="127" spans="1:6" x14ac:dyDescent="0.25">
      <c r="A127" s="7"/>
      <c r="B127" s="7"/>
      <c r="C127"/>
      <c r="D127"/>
      <c r="E127"/>
      <c r="F127"/>
    </row>
    <row r="128" spans="1:6" x14ac:dyDescent="0.25">
      <c r="A128" s="7"/>
      <c r="B128" s="7"/>
      <c r="C128"/>
      <c r="D128"/>
      <c r="E128"/>
      <c r="F128"/>
    </row>
    <row r="129" spans="1:6" x14ac:dyDescent="0.25">
      <c r="A129" s="7"/>
      <c r="B129" s="7"/>
      <c r="C129"/>
      <c r="D129"/>
      <c r="E129"/>
      <c r="F129"/>
    </row>
    <row r="130" spans="1:6" x14ac:dyDescent="0.25">
      <c r="A130" s="7"/>
      <c r="B130" s="7"/>
      <c r="C130"/>
      <c r="D130"/>
      <c r="E130"/>
      <c r="F130"/>
    </row>
    <row r="131" spans="1:6" x14ac:dyDescent="0.25">
      <c r="A131" s="7"/>
      <c r="B131" s="7"/>
      <c r="C131"/>
      <c r="D131"/>
      <c r="E131"/>
      <c r="F131"/>
    </row>
    <row r="132" spans="1:6" x14ac:dyDescent="0.25">
      <c r="A132" s="7"/>
      <c r="B132" s="7"/>
      <c r="C132"/>
      <c r="D132"/>
      <c r="E132"/>
      <c r="F132"/>
    </row>
    <row r="133" spans="1:6" x14ac:dyDescent="0.25">
      <c r="A133" s="7"/>
      <c r="B133" s="7"/>
      <c r="C133"/>
      <c r="D133"/>
      <c r="E133"/>
      <c r="F133"/>
    </row>
    <row r="134" spans="1:6" x14ac:dyDescent="0.25">
      <c r="A134" s="7"/>
      <c r="B134" s="7"/>
      <c r="C134"/>
      <c r="D134"/>
      <c r="E134"/>
      <c r="F134"/>
    </row>
    <row r="135" spans="1:6" x14ac:dyDescent="0.25">
      <c r="A135" s="7"/>
      <c r="B135" s="7"/>
      <c r="C135"/>
      <c r="D135"/>
      <c r="E135"/>
      <c r="F135"/>
    </row>
    <row r="136" spans="1:6" x14ac:dyDescent="0.25">
      <c r="A136" s="7"/>
      <c r="B136" s="7"/>
      <c r="C136"/>
      <c r="D136"/>
      <c r="E136"/>
      <c r="F136"/>
    </row>
    <row r="137" spans="1:6" x14ac:dyDescent="0.25">
      <c r="A137" s="7"/>
      <c r="B137" s="7"/>
      <c r="C137"/>
      <c r="D137"/>
      <c r="E137"/>
      <c r="F137"/>
    </row>
    <row r="138" spans="1:6" x14ac:dyDescent="0.25">
      <c r="A138" s="7"/>
      <c r="B138" s="7"/>
      <c r="C138"/>
      <c r="D138"/>
      <c r="E138"/>
      <c r="F138"/>
    </row>
    <row r="139" spans="1:6" x14ac:dyDescent="0.25">
      <c r="A139" s="7"/>
      <c r="B139" s="7"/>
      <c r="C139"/>
      <c r="D139"/>
      <c r="E139"/>
      <c r="F139"/>
    </row>
    <row r="140" spans="1:6" x14ac:dyDescent="0.25">
      <c r="A140" s="7"/>
      <c r="B140" s="7"/>
      <c r="C140"/>
      <c r="D140"/>
      <c r="E140"/>
      <c r="F140"/>
    </row>
    <row r="141" spans="1:6" x14ac:dyDescent="0.25">
      <c r="A141" s="7"/>
      <c r="B141" s="7"/>
      <c r="C141"/>
      <c r="D141"/>
      <c r="E141"/>
      <c r="F141"/>
    </row>
    <row r="142" spans="1:6" x14ac:dyDescent="0.25">
      <c r="A142" s="7"/>
      <c r="B142" s="7"/>
      <c r="C142"/>
      <c r="D142"/>
      <c r="E142"/>
      <c r="F142"/>
    </row>
    <row r="143" spans="1:6" x14ac:dyDescent="0.25">
      <c r="A143" s="7"/>
      <c r="B143" s="7"/>
      <c r="C143"/>
      <c r="D143"/>
      <c r="E143"/>
      <c r="F143"/>
    </row>
    <row r="144" spans="1:6" x14ac:dyDescent="0.25">
      <c r="A144" s="7"/>
      <c r="B144" s="7"/>
      <c r="C144"/>
      <c r="D144"/>
      <c r="E144"/>
      <c r="F144"/>
    </row>
    <row r="145" spans="1:6" x14ac:dyDescent="0.25">
      <c r="A145" s="7"/>
      <c r="B145" s="7"/>
      <c r="C145"/>
      <c r="D145"/>
      <c r="E145"/>
      <c r="F145"/>
    </row>
    <row r="146" spans="1:6" x14ac:dyDescent="0.25">
      <c r="A146" s="7"/>
      <c r="B146" s="7"/>
      <c r="C146"/>
      <c r="D146"/>
      <c r="E146"/>
      <c r="F146"/>
    </row>
    <row r="147" spans="1:6" x14ac:dyDescent="0.25">
      <c r="A147" s="7"/>
      <c r="B147" s="7"/>
      <c r="C147"/>
      <c r="D147"/>
      <c r="E147"/>
      <c r="F147"/>
    </row>
    <row r="148" spans="1:6" x14ac:dyDescent="0.25">
      <c r="A148" s="7"/>
      <c r="B148" s="7"/>
      <c r="C148"/>
      <c r="D148"/>
      <c r="E148"/>
      <c r="F148"/>
    </row>
    <row r="149" spans="1:6" x14ac:dyDescent="0.25">
      <c r="A149" s="7"/>
      <c r="B149" s="7"/>
      <c r="C149"/>
      <c r="D149"/>
      <c r="E149"/>
      <c r="F149"/>
    </row>
    <row r="150" spans="1:6" x14ac:dyDescent="0.25">
      <c r="A150" s="7"/>
      <c r="B150" s="7"/>
      <c r="C150"/>
      <c r="D150"/>
      <c r="E150"/>
      <c r="F150"/>
    </row>
    <row r="151" spans="1:6" x14ac:dyDescent="0.25">
      <c r="A151" s="7"/>
      <c r="B151" s="7"/>
      <c r="C151"/>
      <c r="D151"/>
      <c r="E151"/>
      <c r="F151"/>
    </row>
    <row r="152" spans="1:6" x14ac:dyDescent="0.25">
      <c r="A152" s="7"/>
      <c r="B152" s="7"/>
      <c r="C152"/>
      <c r="D152"/>
      <c r="E152"/>
      <c r="F152"/>
    </row>
    <row r="153" spans="1:6" x14ac:dyDescent="0.25">
      <c r="A153" s="7"/>
      <c r="B153" s="7"/>
      <c r="C153"/>
      <c r="D153"/>
      <c r="E153"/>
      <c r="F153"/>
    </row>
    <row r="154" spans="1:6" x14ac:dyDescent="0.25">
      <c r="A154" s="7"/>
      <c r="B154" s="7"/>
      <c r="C154"/>
      <c r="D154"/>
      <c r="E154"/>
      <c r="F154"/>
    </row>
    <row r="155" spans="1:6" x14ac:dyDescent="0.25">
      <c r="A155" s="7"/>
      <c r="B155" s="7"/>
      <c r="C155"/>
      <c r="D155"/>
      <c r="E155"/>
      <c r="F155"/>
    </row>
    <row r="156" spans="1:6" x14ac:dyDescent="0.25">
      <c r="A156" s="7"/>
      <c r="B156" s="7"/>
      <c r="C156"/>
      <c r="D156"/>
      <c r="E156"/>
      <c r="F156"/>
    </row>
    <row r="157" spans="1:6" x14ac:dyDescent="0.25">
      <c r="A157" s="7"/>
      <c r="B157" s="7"/>
      <c r="C157"/>
      <c r="D157"/>
      <c r="E157"/>
      <c r="F157"/>
    </row>
    <row r="158" spans="1:6" x14ac:dyDescent="0.25">
      <c r="A158" s="7"/>
      <c r="B158" s="7"/>
      <c r="C158"/>
      <c r="D158"/>
      <c r="E158"/>
      <c r="F158"/>
    </row>
    <row r="159" spans="1:6" x14ac:dyDescent="0.25">
      <c r="A159" s="7"/>
      <c r="B159" s="7"/>
      <c r="C159"/>
      <c r="D159"/>
      <c r="E159"/>
      <c r="F159"/>
    </row>
    <row r="160" spans="1:6" x14ac:dyDescent="0.25">
      <c r="A160" s="7"/>
      <c r="B160" s="7"/>
      <c r="C160"/>
      <c r="D160"/>
      <c r="E160"/>
      <c r="F160"/>
    </row>
    <row r="161" spans="1:6" x14ac:dyDescent="0.25">
      <c r="A161" s="7"/>
      <c r="B161" s="7"/>
      <c r="C161"/>
      <c r="D161"/>
      <c r="E161"/>
      <c r="F161"/>
    </row>
    <row r="162" spans="1:6" x14ac:dyDescent="0.25">
      <c r="A162" s="7"/>
      <c r="B162" s="7"/>
      <c r="C162"/>
      <c r="D162"/>
      <c r="E162"/>
      <c r="F162"/>
    </row>
    <row r="163" spans="1:6" x14ac:dyDescent="0.25">
      <c r="A163" s="7"/>
      <c r="B163" s="7"/>
      <c r="C163"/>
      <c r="D163"/>
      <c r="E163"/>
      <c r="F163"/>
    </row>
    <row r="164" spans="1:6" x14ac:dyDescent="0.25">
      <c r="A164" s="7"/>
      <c r="B164" s="7"/>
      <c r="C164"/>
      <c r="D164"/>
      <c r="E164"/>
      <c r="F164"/>
    </row>
    <row r="165" spans="1:6" x14ac:dyDescent="0.25">
      <c r="A165" s="7"/>
      <c r="B165" s="7"/>
      <c r="C165"/>
      <c r="D165"/>
      <c r="E165"/>
      <c r="F165"/>
    </row>
    <row r="166" spans="1:6" x14ac:dyDescent="0.25">
      <c r="A166" s="7"/>
      <c r="B166" s="7"/>
      <c r="C166"/>
      <c r="D166"/>
      <c r="E166"/>
      <c r="F166"/>
    </row>
    <row r="167" spans="1:6" x14ac:dyDescent="0.25">
      <c r="A167" s="3"/>
      <c r="B167" s="7"/>
      <c r="C167"/>
      <c r="D167"/>
      <c r="E167"/>
      <c r="F167"/>
    </row>
    <row r="168" spans="1:6" x14ac:dyDescent="0.25">
      <c r="A168" s="3"/>
      <c r="B168" s="7"/>
      <c r="C168"/>
      <c r="D168"/>
      <c r="E168"/>
      <c r="F168"/>
    </row>
    <row r="169" spans="1:6" x14ac:dyDescent="0.25">
      <c r="A169" s="3"/>
      <c r="B169" s="7"/>
      <c r="C169"/>
      <c r="D169"/>
      <c r="E169"/>
      <c r="F169"/>
    </row>
    <row r="170" spans="1:6" x14ac:dyDescent="0.25">
      <c r="A170" s="3"/>
      <c r="B170" s="7"/>
      <c r="C170"/>
      <c r="D170"/>
      <c r="E170"/>
      <c r="F170"/>
    </row>
    <row r="171" spans="1:6" x14ac:dyDescent="0.25">
      <c r="A171" s="3"/>
      <c r="B171" s="7"/>
      <c r="C171"/>
      <c r="D171"/>
      <c r="E171"/>
      <c r="F171"/>
    </row>
    <row r="172" spans="1:6" x14ac:dyDescent="0.25">
      <c r="A172" s="3"/>
      <c r="B172" s="7"/>
      <c r="C172"/>
      <c r="D172"/>
      <c r="E172"/>
      <c r="F172"/>
    </row>
    <row r="173" spans="1:6" x14ac:dyDescent="0.25">
      <c r="A173" s="3"/>
      <c r="B173" s="7"/>
      <c r="C173"/>
      <c r="D173"/>
      <c r="E173"/>
      <c r="F173"/>
    </row>
    <row r="174" spans="1:6" x14ac:dyDescent="0.25">
      <c r="A174" s="3"/>
      <c r="B174" s="7"/>
      <c r="C174"/>
      <c r="D174"/>
      <c r="E174"/>
      <c r="F174"/>
    </row>
    <row r="175" spans="1:6" x14ac:dyDescent="0.25">
      <c r="A175" s="3"/>
      <c r="B175" s="7"/>
      <c r="C175"/>
      <c r="D175"/>
      <c r="E175"/>
      <c r="F175"/>
    </row>
    <row r="176" spans="1:6" x14ac:dyDescent="0.25">
      <c r="A176" s="3"/>
      <c r="B176" s="7"/>
      <c r="C176"/>
      <c r="D176"/>
      <c r="E176"/>
      <c r="F176"/>
    </row>
    <row r="177" spans="1:6" x14ac:dyDescent="0.25">
      <c r="A177" s="3"/>
      <c r="B177" s="7"/>
      <c r="C177"/>
      <c r="D177"/>
      <c r="E177"/>
      <c r="F177"/>
    </row>
    <row r="178" spans="1:6" x14ac:dyDescent="0.25">
      <c r="A178" s="3"/>
      <c r="B178" s="7"/>
      <c r="C178"/>
      <c r="D178"/>
      <c r="E178"/>
      <c r="F178"/>
    </row>
    <row r="179" spans="1:6" x14ac:dyDescent="0.25">
      <c r="A179" s="3"/>
      <c r="B179" s="7"/>
      <c r="C179"/>
      <c r="D179"/>
      <c r="E179"/>
      <c r="F179"/>
    </row>
    <row r="180" spans="1:6" x14ac:dyDescent="0.25">
      <c r="A180" s="3"/>
      <c r="B180" s="7"/>
      <c r="C180"/>
      <c r="D180"/>
      <c r="E180"/>
      <c r="F180"/>
    </row>
    <row r="181" spans="1:6" x14ac:dyDescent="0.25">
      <c r="A181" s="3"/>
      <c r="B181" s="7"/>
      <c r="C181"/>
      <c r="D181"/>
      <c r="E181"/>
      <c r="F181"/>
    </row>
    <row r="182" spans="1:6" x14ac:dyDescent="0.25">
      <c r="A182" s="3"/>
      <c r="B182" s="7"/>
      <c r="C182"/>
      <c r="D182"/>
      <c r="E182"/>
      <c r="F182"/>
    </row>
    <row r="183" spans="1:6" x14ac:dyDescent="0.25">
      <c r="A183" s="3"/>
      <c r="B183" s="7"/>
      <c r="C183"/>
      <c r="D183"/>
      <c r="E183"/>
      <c r="F183"/>
    </row>
    <row r="184" spans="1:6" x14ac:dyDescent="0.25">
      <c r="A184" s="3"/>
      <c r="B184" s="7"/>
      <c r="C184"/>
      <c r="D184"/>
      <c r="E184"/>
      <c r="F184"/>
    </row>
    <row r="185" spans="1:6" x14ac:dyDescent="0.25">
      <c r="A185" s="3"/>
      <c r="B185" s="7"/>
      <c r="C185"/>
      <c r="D185"/>
      <c r="E185"/>
      <c r="F185"/>
    </row>
    <row r="186" spans="1:6" x14ac:dyDescent="0.25">
      <c r="A186" s="3"/>
      <c r="B186" s="7"/>
      <c r="C186"/>
      <c r="D186"/>
      <c r="E186"/>
      <c r="F186"/>
    </row>
    <row r="187" spans="1:6" x14ac:dyDescent="0.25">
      <c r="A187" s="3"/>
      <c r="B187" s="7"/>
      <c r="C187"/>
      <c r="D187"/>
      <c r="E187"/>
      <c r="F187"/>
    </row>
    <row r="188" spans="1:6" x14ac:dyDescent="0.25">
      <c r="A188" s="3"/>
      <c r="B188" s="7"/>
      <c r="C188"/>
      <c r="D188"/>
      <c r="E188"/>
      <c r="F188"/>
    </row>
    <row r="189" spans="1:6" x14ac:dyDescent="0.25">
      <c r="A189" s="3"/>
      <c r="B189" s="7"/>
      <c r="C189"/>
      <c r="D189"/>
      <c r="E189"/>
      <c r="F189"/>
    </row>
    <row r="190" spans="1:6" x14ac:dyDescent="0.25">
      <c r="A190" s="3"/>
      <c r="B190" s="7"/>
      <c r="C190"/>
      <c r="D190"/>
      <c r="E190"/>
      <c r="F190"/>
    </row>
    <row r="191" spans="1:6" x14ac:dyDescent="0.25">
      <c r="A191" s="3"/>
      <c r="B191" s="7"/>
      <c r="C191"/>
      <c r="D191"/>
      <c r="E191"/>
      <c r="F191"/>
    </row>
    <row r="192" spans="1:6" x14ac:dyDescent="0.25">
      <c r="A192" s="3"/>
      <c r="B192" s="7"/>
      <c r="C192"/>
      <c r="D192"/>
      <c r="E192"/>
      <c r="F192"/>
    </row>
    <row r="193" spans="1:6" x14ac:dyDescent="0.25">
      <c r="A193" s="3"/>
      <c r="B193" s="7"/>
      <c r="C193"/>
      <c r="D193"/>
      <c r="E193"/>
      <c r="F193"/>
    </row>
    <row r="194" spans="1:6" x14ac:dyDescent="0.25">
      <c r="A194" s="3"/>
      <c r="B194" s="7"/>
      <c r="C194"/>
      <c r="D194"/>
      <c r="E194"/>
      <c r="F194"/>
    </row>
    <row r="195" spans="1:6" x14ac:dyDescent="0.25">
      <c r="A195" s="3"/>
      <c r="B195" s="7"/>
      <c r="C195"/>
      <c r="D195"/>
      <c r="E195"/>
      <c r="F195"/>
    </row>
    <row r="196" spans="1:6" x14ac:dyDescent="0.25">
      <c r="A196" s="3"/>
      <c r="B196" s="7"/>
      <c r="C196"/>
      <c r="D196"/>
      <c r="E196"/>
      <c r="F196"/>
    </row>
    <row r="197" spans="1:6" x14ac:dyDescent="0.25">
      <c r="A197" s="3"/>
      <c r="B197" s="7"/>
      <c r="C197"/>
      <c r="D197"/>
      <c r="E197"/>
      <c r="F197"/>
    </row>
    <row r="198" spans="1:6" x14ac:dyDescent="0.25">
      <c r="A198" s="3"/>
      <c r="B198" s="7"/>
      <c r="C198"/>
      <c r="D198"/>
      <c r="E198"/>
      <c r="F198"/>
    </row>
    <row r="199" spans="1:6" x14ac:dyDescent="0.25">
      <c r="A199" s="3"/>
      <c r="B199" s="7"/>
      <c r="C199"/>
      <c r="D199"/>
      <c r="E199"/>
      <c r="F199"/>
    </row>
    <row r="200" spans="1:6" x14ac:dyDescent="0.25">
      <c r="A200" s="3"/>
      <c r="B200" s="7"/>
      <c r="C200"/>
      <c r="D200"/>
      <c r="E200"/>
      <c r="F200"/>
    </row>
    <row r="201" spans="1:6" x14ac:dyDescent="0.25">
      <c r="A201" s="3"/>
      <c r="B201" s="7"/>
      <c r="C201"/>
      <c r="D201"/>
      <c r="E201"/>
      <c r="F201"/>
    </row>
    <row r="202" spans="1:6" x14ac:dyDescent="0.25">
      <c r="A202" s="3"/>
      <c r="B202" s="7"/>
      <c r="C202"/>
      <c r="D202"/>
      <c r="E202"/>
      <c r="F202"/>
    </row>
    <row r="203" spans="1:6" x14ac:dyDescent="0.25">
      <c r="A203" s="3"/>
      <c r="B203" s="7"/>
      <c r="C203"/>
      <c r="D203"/>
      <c r="E203"/>
      <c r="F203"/>
    </row>
    <row r="204" spans="1:6" x14ac:dyDescent="0.25">
      <c r="A204" s="3"/>
      <c r="B204" s="7"/>
      <c r="C204"/>
      <c r="D204"/>
      <c r="E204"/>
      <c r="F204"/>
    </row>
    <row r="205" spans="1:6" x14ac:dyDescent="0.25">
      <c r="A205" s="3"/>
      <c r="B205" s="7"/>
      <c r="C205"/>
      <c r="D205"/>
      <c r="E205"/>
      <c r="F205"/>
    </row>
    <row r="206" spans="1:6" x14ac:dyDescent="0.25">
      <c r="A206" s="3"/>
      <c r="B206" s="7"/>
      <c r="C206"/>
      <c r="D206"/>
      <c r="E206"/>
      <c r="F206"/>
    </row>
    <row r="207" spans="1:6" x14ac:dyDescent="0.25">
      <c r="A207" s="3"/>
      <c r="B207" s="7"/>
      <c r="C207"/>
      <c r="D207"/>
      <c r="E207"/>
      <c r="F207"/>
    </row>
    <row r="208" spans="1:6" x14ac:dyDescent="0.25">
      <c r="A208" s="3"/>
      <c r="B208" s="7"/>
      <c r="C208"/>
      <c r="D208"/>
      <c r="E208"/>
      <c r="F208"/>
    </row>
    <row r="209" spans="1:6" x14ac:dyDescent="0.25">
      <c r="A209" s="3"/>
      <c r="B209" s="7"/>
      <c r="C209"/>
      <c r="D209"/>
      <c r="E209"/>
      <c r="F209"/>
    </row>
    <row r="210" spans="1:6" x14ac:dyDescent="0.25">
      <c r="A210" s="3"/>
      <c r="B210" s="7"/>
      <c r="C210"/>
      <c r="D210"/>
      <c r="E210"/>
      <c r="F210"/>
    </row>
    <row r="211" spans="1:6" x14ac:dyDescent="0.25">
      <c r="A211" s="3"/>
      <c r="B211" s="7"/>
      <c r="C211"/>
      <c r="D211"/>
      <c r="E211"/>
      <c r="F211"/>
    </row>
    <row r="212" spans="1:6" x14ac:dyDescent="0.25">
      <c r="A212" s="3"/>
      <c r="B212" s="7"/>
      <c r="C212"/>
      <c r="D212"/>
      <c r="E212"/>
      <c r="F212"/>
    </row>
    <row r="213" spans="1:6" x14ac:dyDescent="0.25">
      <c r="A213" s="3"/>
      <c r="B213" s="7"/>
      <c r="C213"/>
      <c r="D213"/>
      <c r="E213"/>
      <c r="F213"/>
    </row>
    <row r="214" spans="1:6" x14ac:dyDescent="0.25">
      <c r="A214" s="3"/>
      <c r="B214" s="7"/>
      <c r="C214"/>
      <c r="D214"/>
      <c r="E214"/>
      <c r="F214"/>
    </row>
    <row r="215" spans="1:6" x14ac:dyDescent="0.25">
      <c r="A215" s="3"/>
      <c r="B215" s="7"/>
      <c r="C215"/>
      <c r="D215"/>
      <c r="E215"/>
      <c r="F215"/>
    </row>
    <row r="216" spans="1:6" x14ac:dyDescent="0.25">
      <c r="A216" s="3"/>
      <c r="B216" s="7"/>
      <c r="C216"/>
      <c r="D216"/>
      <c r="E216"/>
      <c r="F216"/>
    </row>
    <row r="217" spans="1:6" x14ac:dyDescent="0.25">
      <c r="A217" s="3"/>
      <c r="B217" s="7"/>
      <c r="C217"/>
      <c r="D217"/>
      <c r="E217"/>
      <c r="F217"/>
    </row>
    <row r="218" spans="1:6" x14ac:dyDescent="0.25">
      <c r="A218" s="3"/>
      <c r="B218" s="7"/>
      <c r="C218"/>
      <c r="D218"/>
      <c r="E218"/>
      <c r="F218"/>
    </row>
    <row r="219" spans="1:6" x14ac:dyDescent="0.25">
      <c r="A219" s="3"/>
      <c r="B219" s="7"/>
      <c r="C219"/>
      <c r="D219"/>
      <c r="E219"/>
      <c r="F219"/>
    </row>
    <row r="220" spans="1:6" x14ac:dyDescent="0.25">
      <c r="A220" s="3"/>
      <c r="B220" s="7"/>
      <c r="C220"/>
      <c r="D220"/>
      <c r="E220"/>
      <c r="F220"/>
    </row>
    <row r="221" spans="1:6" x14ac:dyDescent="0.25">
      <c r="A221" s="3"/>
      <c r="B221" s="7"/>
      <c r="C221"/>
      <c r="D221"/>
      <c r="E221"/>
      <c r="F221"/>
    </row>
    <row r="222" spans="1:6" x14ac:dyDescent="0.25">
      <c r="A222" s="3"/>
      <c r="B222" s="7"/>
      <c r="C222"/>
      <c r="D222"/>
      <c r="E222"/>
      <c r="F222"/>
    </row>
    <row r="223" spans="1:6" x14ac:dyDescent="0.25">
      <c r="A223" s="3"/>
      <c r="B223" s="7"/>
      <c r="C223"/>
      <c r="D223"/>
      <c r="E223"/>
      <c r="F223"/>
    </row>
    <row r="224" spans="1:6" x14ac:dyDescent="0.25">
      <c r="A224" s="3"/>
      <c r="B224" s="7"/>
      <c r="C224"/>
      <c r="D224"/>
      <c r="E224"/>
      <c r="F224"/>
    </row>
    <row r="225" spans="1:6" x14ac:dyDescent="0.25">
      <c r="A225" s="7"/>
      <c r="B225" s="7"/>
      <c r="C225"/>
      <c r="D225"/>
      <c r="E225"/>
      <c r="F225"/>
    </row>
    <row r="226" spans="1:6" x14ac:dyDescent="0.25">
      <c r="A226" s="7"/>
      <c r="B226" s="7"/>
      <c r="C226"/>
      <c r="D226"/>
      <c r="E226"/>
      <c r="F226"/>
    </row>
    <row r="227" spans="1:6" x14ac:dyDescent="0.25">
      <c r="A227" s="7"/>
      <c r="B227" s="7"/>
      <c r="C227"/>
      <c r="D227"/>
      <c r="E227"/>
      <c r="F227"/>
    </row>
    <row r="228" spans="1:6" x14ac:dyDescent="0.25">
      <c r="A228" s="7"/>
      <c r="B228" s="7"/>
      <c r="C228"/>
      <c r="D228"/>
      <c r="E228"/>
      <c r="F228"/>
    </row>
    <row r="229" spans="1:6" x14ac:dyDescent="0.25">
      <c r="A229" s="7"/>
      <c r="B229" s="7"/>
      <c r="C229"/>
      <c r="D229"/>
      <c r="E229"/>
      <c r="F229"/>
    </row>
    <row r="230" spans="1:6" x14ac:dyDescent="0.25">
      <c r="A230" s="7"/>
      <c r="B230" s="7"/>
      <c r="C230"/>
      <c r="D230"/>
      <c r="E230"/>
      <c r="F230"/>
    </row>
    <row r="231" spans="1:6" x14ac:dyDescent="0.25">
      <c r="A231" s="7"/>
      <c r="B231" s="7"/>
      <c r="C231"/>
      <c r="D231"/>
      <c r="E231"/>
      <c r="F231"/>
    </row>
    <row r="232" spans="1:6" x14ac:dyDescent="0.25">
      <c r="A232" s="7"/>
      <c r="B232" s="7"/>
      <c r="C232"/>
      <c r="D232"/>
      <c r="E232"/>
      <c r="F232"/>
    </row>
    <row r="233" spans="1:6" x14ac:dyDescent="0.25">
      <c r="A233" s="7"/>
      <c r="B233" s="7"/>
      <c r="C233"/>
      <c r="D233"/>
      <c r="E233"/>
      <c r="F233"/>
    </row>
    <row r="234" spans="1:6" x14ac:dyDescent="0.25">
      <c r="A234" s="7"/>
      <c r="B234" s="7"/>
      <c r="C234"/>
      <c r="D234"/>
      <c r="E234"/>
      <c r="F234"/>
    </row>
    <row r="235" spans="1:6" x14ac:dyDescent="0.25">
      <c r="A235" s="7"/>
      <c r="B235" s="7"/>
      <c r="C235"/>
      <c r="D235"/>
      <c r="E235"/>
      <c r="F235"/>
    </row>
    <row r="236" spans="1:6" x14ac:dyDescent="0.25">
      <c r="A236" s="7"/>
      <c r="B236" s="7"/>
      <c r="C236"/>
      <c r="D236"/>
      <c r="E236"/>
      <c r="F236"/>
    </row>
    <row r="237" spans="1:6" x14ac:dyDescent="0.25">
      <c r="A237" s="7"/>
      <c r="B237" s="7"/>
      <c r="C237"/>
      <c r="D237"/>
      <c r="E237"/>
      <c r="F237"/>
    </row>
    <row r="238" spans="1:6" x14ac:dyDescent="0.25">
      <c r="A238" s="7"/>
      <c r="B238" s="7"/>
      <c r="C238"/>
      <c r="D238"/>
      <c r="E238"/>
      <c r="F238"/>
    </row>
    <row r="239" spans="1:6" x14ac:dyDescent="0.25">
      <c r="A239" s="7"/>
      <c r="B239" s="7"/>
      <c r="C239"/>
      <c r="D239"/>
      <c r="E239"/>
      <c r="F239"/>
    </row>
    <row r="240" spans="1:6" x14ac:dyDescent="0.25">
      <c r="A240" s="7"/>
      <c r="B240" s="7"/>
      <c r="C240"/>
      <c r="D240"/>
      <c r="E240"/>
      <c r="F240"/>
    </row>
    <row r="241" spans="1:6" x14ac:dyDescent="0.25">
      <c r="A241" s="7"/>
      <c r="B241" s="7"/>
      <c r="C241"/>
      <c r="D241"/>
      <c r="E241"/>
      <c r="F241"/>
    </row>
    <row r="242" spans="1:6" x14ac:dyDescent="0.25">
      <c r="A242" s="7"/>
      <c r="B242" s="7"/>
      <c r="C242"/>
      <c r="D242"/>
      <c r="E242"/>
      <c r="F242"/>
    </row>
    <row r="243" spans="1:6" x14ac:dyDescent="0.25">
      <c r="A243" s="7"/>
      <c r="B243" s="7"/>
      <c r="C243"/>
      <c r="D243"/>
      <c r="E243"/>
      <c r="F243"/>
    </row>
    <row r="244" spans="1:6" x14ac:dyDescent="0.25">
      <c r="A244" s="7"/>
      <c r="B244" s="7"/>
      <c r="C244"/>
      <c r="D244"/>
      <c r="E244"/>
      <c r="F244"/>
    </row>
    <row r="245" spans="1:6" x14ac:dyDescent="0.25">
      <c r="A245" s="7"/>
      <c r="B245" s="7"/>
      <c r="C245"/>
      <c r="D245"/>
      <c r="E245"/>
      <c r="F245"/>
    </row>
    <row r="246" spans="1:6" x14ac:dyDescent="0.25">
      <c r="A246" s="7"/>
      <c r="B246" s="7"/>
      <c r="C246"/>
      <c r="D246"/>
      <c r="E246"/>
      <c r="F246"/>
    </row>
    <row r="247" spans="1:6" x14ac:dyDescent="0.25">
      <c r="A247" s="7"/>
      <c r="B247" s="7"/>
      <c r="C247"/>
      <c r="D247"/>
      <c r="E247"/>
      <c r="F247"/>
    </row>
    <row r="248" spans="1:6" x14ac:dyDescent="0.25">
      <c r="A248" s="7"/>
      <c r="B248" s="7"/>
      <c r="C248"/>
      <c r="D248"/>
      <c r="E248"/>
      <c r="F248"/>
    </row>
    <row r="249" spans="1:6" x14ac:dyDescent="0.25">
      <c r="A249" s="7"/>
      <c r="B249" s="7"/>
      <c r="C249"/>
      <c r="D249"/>
      <c r="E249"/>
      <c r="F249"/>
    </row>
    <row r="250" spans="1:6" x14ac:dyDescent="0.25">
      <c r="A250" s="7"/>
      <c r="B250" s="7"/>
      <c r="C250"/>
      <c r="D250"/>
      <c r="E250"/>
      <c r="F250"/>
    </row>
    <row r="251" spans="1:6" x14ac:dyDescent="0.25">
      <c r="A251" s="7"/>
      <c r="B251" s="7"/>
      <c r="C251"/>
      <c r="D251"/>
      <c r="E251"/>
      <c r="F251"/>
    </row>
    <row r="252" spans="1:6" x14ac:dyDescent="0.25">
      <c r="A252" s="7"/>
      <c r="B252" s="7"/>
      <c r="C252"/>
      <c r="D252"/>
      <c r="E252"/>
      <c r="F252"/>
    </row>
    <row r="253" spans="1:6" x14ac:dyDescent="0.25">
      <c r="A253" s="7"/>
      <c r="B253" s="7"/>
      <c r="C253"/>
      <c r="D253"/>
      <c r="E253"/>
      <c r="F253"/>
    </row>
    <row r="254" spans="1:6" x14ac:dyDescent="0.25">
      <c r="A254" s="7"/>
      <c r="B254" s="7"/>
      <c r="C254"/>
      <c r="D254"/>
      <c r="E254"/>
      <c r="F254"/>
    </row>
    <row r="255" spans="1:6" x14ac:dyDescent="0.25">
      <c r="A255" s="7"/>
      <c r="B255" s="7"/>
      <c r="C255"/>
      <c r="D255"/>
      <c r="E255"/>
      <c r="F255"/>
    </row>
    <row r="256" spans="1:6" x14ac:dyDescent="0.25">
      <c r="A256" s="7"/>
      <c r="B256" s="7"/>
      <c r="C256"/>
      <c r="D256"/>
      <c r="E256"/>
      <c r="F256"/>
    </row>
    <row r="257" spans="1:6" x14ac:dyDescent="0.25">
      <c r="A257" s="7"/>
      <c r="B257" s="7"/>
      <c r="C257"/>
      <c r="D257"/>
      <c r="E257"/>
      <c r="F257"/>
    </row>
    <row r="258" spans="1:6" x14ac:dyDescent="0.25">
      <c r="A258" s="7"/>
      <c r="B258" s="7"/>
      <c r="C258"/>
      <c r="D258"/>
      <c r="E258"/>
      <c r="F258"/>
    </row>
    <row r="259" spans="1:6" x14ac:dyDescent="0.25">
      <c r="A259" s="7"/>
      <c r="B259" s="7"/>
      <c r="C259"/>
      <c r="D259"/>
      <c r="E259"/>
      <c r="F259"/>
    </row>
    <row r="260" spans="1:6" x14ac:dyDescent="0.25">
      <c r="A260" s="7"/>
      <c r="B260" s="7"/>
      <c r="C260"/>
      <c r="D260"/>
      <c r="E260"/>
      <c r="F260"/>
    </row>
    <row r="261" spans="1:6" x14ac:dyDescent="0.25">
      <c r="A261" s="7"/>
      <c r="B261" s="7"/>
      <c r="C261"/>
      <c r="D261"/>
      <c r="E261"/>
      <c r="F261"/>
    </row>
    <row r="262" spans="1:6" x14ac:dyDescent="0.25">
      <c r="A262" s="7"/>
      <c r="B262" s="7"/>
      <c r="C262"/>
      <c r="D262"/>
      <c r="E262"/>
      <c r="F262"/>
    </row>
    <row r="263" spans="1:6" x14ac:dyDescent="0.25">
      <c r="A263" s="7"/>
      <c r="B263" s="7"/>
      <c r="C263"/>
      <c r="D263"/>
      <c r="E263"/>
      <c r="F263"/>
    </row>
    <row r="264" spans="1:6" x14ac:dyDescent="0.25">
      <c r="A264" s="7"/>
      <c r="B264" s="7"/>
      <c r="C264"/>
      <c r="D264"/>
      <c r="E264"/>
      <c r="F264"/>
    </row>
    <row r="265" spans="1:6" x14ac:dyDescent="0.25">
      <c r="A265" s="7"/>
      <c r="B265" s="7"/>
      <c r="C265"/>
      <c r="D265"/>
      <c r="E265"/>
      <c r="F265"/>
    </row>
    <row r="266" spans="1:6" x14ac:dyDescent="0.25">
      <c r="A266" s="7"/>
      <c r="B266" s="7"/>
      <c r="C266"/>
      <c r="D266"/>
      <c r="E266"/>
      <c r="F266"/>
    </row>
    <row r="267" spans="1:6" x14ac:dyDescent="0.25">
      <c r="A267" s="7"/>
      <c r="B267" s="7"/>
      <c r="C267"/>
      <c r="D267"/>
      <c r="E267"/>
      <c r="F267"/>
    </row>
    <row r="268" spans="1:6" x14ac:dyDescent="0.25">
      <c r="A268" s="7"/>
      <c r="B268" s="7"/>
      <c r="C268"/>
      <c r="D268"/>
      <c r="E268"/>
      <c r="F268"/>
    </row>
    <row r="269" spans="1:6" x14ac:dyDescent="0.25">
      <c r="A269" s="7"/>
      <c r="B269" s="7"/>
      <c r="C269"/>
      <c r="D269"/>
      <c r="E269"/>
      <c r="F269"/>
    </row>
    <row r="270" spans="1:6" x14ac:dyDescent="0.25">
      <c r="A270" s="7"/>
      <c r="B270" s="7"/>
      <c r="C270"/>
      <c r="D270"/>
      <c r="E270"/>
      <c r="F270"/>
    </row>
    <row r="271" spans="1:6" x14ac:dyDescent="0.25">
      <c r="A271" s="7"/>
      <c r="B271" s="7"/>
      <c r="C271"/>
      <c r="D271"/>
      <c r="E271"/>
      <c r="F271"/>
    </row>
    <row r="272" spans="1:6" x14ac:dyDescent="0.25">
      <c r="A272" s="7"/>
      <c r="B272" s="7"/>
      <c r="C272"/>
      <c r="D272"/>
      <c r="E272"/>
      <c r="F272"/>
    </row>
    <row r="273" spans="1:6" x14ac:dyDescent="0.25">
      <c r="A273" s="7"/>
      <c r="B273" s="7"/>
      <c r="C273"/>
      <c r="D273"/>
      <c r="E273"/>
      <c r="F273"/>
    </row>
    <row r="274" spans="1:6" x14ac:dyDescent="0.25">
      <c r="A274" s="7"/>
      <c r="B274" s="7"/>
      <c r="C274"/>
      <c r="D274"/>
      <c r="E274"/>
      <c r="F274"/>
    </row>
    <row r="275" spans="1:6" x14ac:dyDescent="0.25">
      <c r="A275" s="7"/>
      <c r="B275" s="7"/>
      <c r="C275"/>
      <c r="D275"/>
      <c r="E275"/>
      <c r="F275"/>
    </row>
    <row r="276" spans="1:6" x14ac:dyDescent="0.25">
      <c r="A276" s="7"/>
      <c r="B276" s="7"/>
      <c r="C276"/>
      <c r="D276"/>
      <c r="E276"/>
      <c r="F276"/>
    </row>
    <row r="277" spans="1:6" x14ac:dyDescent="0.25">
      <c r="A277" s="7"/>
      <c r="B277" s="7"/>
      <c r="C277"/>
      <c r="D277"/>
      <c r="E277"/>
      <c r="F277"/>
    </row>
    <row r="278" spans="1:6" x14ac:dyDescent="0.25">
      <c r="A278" s="7"/>
      <c r="B278" s="7"/>
      <c r="C278"/>
      <c r="D278"/>
      <c r="E278"/>
      <c r="F278"/>
    </row>
    <row r="279" spans="1:6" x14ac:dyDescent="0.25">
      <c r="A279" s="7"/>
      <c r="B279" s="7"/>
      <c r="C279"/>
      <c r="D279"/>
      <c r="E279"/>
      <c r="F279"/>
    </row>
    <row r="280" spans="1:6" x14ac:dyDescent="0.25">
      <c r="A280" s="7"/>
      <c r="B280" s="7"/>
      <c r="C280"/>
      <c r="D280"/>
      <c r="E280"/>
      <c r="F280"/>
    </row>
    <row r="281" spans="1:6" x14ac:dyDescent="0.25">
      <c r="A281" s="7"/>
      <c r="B281" s="7"/>
      <c r="C281"/>
      <c r="D281"/>
      <c r="E281"/>
      <c r="F281"/>
    </row>
    <row r="282" spans="1:6" x14ac:dyDescent="0.25">
      <c r="A282" s="7"/>
      <c r="B282" s="7"/>
      <c r="C282"/>
      <c r="D282"/>
      <c r="E282"/>
      <c r="F282"/>
    </row>
    <row r="283" spans="1:6" x14ac:dyDescent="0.25">
      <c r="A283" s="7"/>
      <c r="B283" s="7"/>
      <c r="C283"/>
      <c r="D283"/>
      <c r="E283"/>
      <c r="F283"/>
    </row>
    <row r="284" spans="1:6" x14ac:dyDescent="0.25">
      <c r="A284" s="7"/>
      <c r="B284" s="7"/>
      <c r="C284"/>
      <c r="D284"/>
      <c r="E284"/>
      <c r="F284"/>
    </row>
    <row r="285" spans="1:6" x14ac:dyDescent="0.25">
      <c r="A285" s="7"/>
      <c r="B285" s="7"/>
      <c r="C285"/>
      <c r="D285"/>
      <c r="E285"/>
      <c r="F285"/>
    </row>
    <row r="286" spans="1:6" x14ac:dyDescent="0.25">
      <c r="A286" s="7"/>
      <c r="B286" s="7"/>
      <c r="C286"/>
      <c r="D286"/>
      <c r="E286"/>
      <c r="F286"/>
    </row>
    <row r="287" spans="1:6" x14ac:dyDescent="0.25">
      <c r="A287" s="7"/>
      <c r="B287" s="7"/>
      <c r="C287"/>
      <c r="D287"/>
      <c r="E287"/>
      <c r="F287"/>
    </row>
    <row r="288" spans="1:6" x14ac:dyDescent="0.25">
      <c r="A288" s="7"/>
      <c r="B288" s="7"/>
      <c r="C288"/>
      <c r="D288"/>
      <c r="E288"/>
      <c r="F288"/>
    </row>
    <row r="289" spans="1:6" x14ac:dyDescent="0.25">
      <c r="A289" s="7"/>
      <c r="B289" s="7"/>
      <c r="C289"/>
      <c r="D289"/>
      <c r="E289"/>
      <c r="F289"/>
    </row>
    <row r="290" spans="1:6" x14ac:dyDescent="0.25">
      <c r="A290" s="7"/>
      <c r="B290" s="7"/>
      <c r="C290"/>
      <c r="D290"/>
      <c r="E290"/>
      <c r="F290"/>
    </row>
    <row r="291" spans="1:6" x14ac:dyDescent="0.25">
      <c r="A291" s="7"/>
      <c r="B291" s="7"/>
      <c r="C291"/>
      <c r="D291"/>
      <c r="E291"/>
      <c r="F291"/>
    </row>
    <row r="292" spans="1:6" x14ac:dyDescent="0.25">
      <c r="A292" s="7"/>
      <c r="B292" s="7"/>
      <c r="C292"/>
      <c r="D292"/>
      <c r="E292"/>
      <c r="F292"/>
    </row>
    <row r="293" spans="1:6" x14ac:dyDescent="0.25">
      <c r="A293" s="7"/>
      <c r="B293" s="7"/>
      <c r="C293"/>
      <c r="D293"/>
      <c r="E293"/>
      <c r="F293"/>
    </row>
    <row r="294" spans="1:6" x14ac:dyDescent="0.25">
      <c r="A294" s="7"/>
      <c r="B294" s="7"/>
      <c r="C294"/>
      <c r="D294"/>
      <c r="E294"/>
      <c r="F294"/>
    </row>
    <row r="295" spans="1:6" x14ac:dyDescent="0.25">
      <c r="A295" s="7"/>
      <c r="B295" s="7"/>
      <c r="C295"/>
      <c r="D295"/>
      <c r="E295"/>
      <c r="F295"/>
    </row>
    <row r="296" spans="1:6" x14ac:dyDescent="0.25">
      <c r="A296" s="7"/>
      <c r="B296" s="7"/>
      <c r="C296"/>
      <c r="D296"/>
      <c r="E296"/>
      <c r="F296"/>
    </row>
    <row r="297" spans="1:6" x14ac:dyDescent="0.25">
      <c r="A297" s="7"/>
      <c r="B297" s="7"/>
      <c r="C297"/>
      <c r="D297"/>
      <c r="E297"/>
      <c r="F297"/>
    </row>
    <row r="298" spans="1:6" x14ac:dyDescent="0.25">
      <c r="A298" s="7"/>
      <c r="B298" s="7"/>
      <c r="C298"/>
      <c r="D298"/>
      <c r="E298"/>
      <c r="F298"/>
    </row>
    <row r="299" spans="1:6" x14ac:dyDescent="0.25">
      <c r="A299" s="7"/>
      <c r="B299" s="7"/>
      <c r="C299"/>
      <c r="D299"/>
      <c r="E299"/>
      <c r="F299"/>
    </row>
    <row r="300" spans="1:6" x14ac:dyDescent="0.25">
      <c r="A300" s="7"/>
      <c r="B300" s="7"/>
      <c r="C300"/>
      <c r="D300"/>
      <c r="E300"/>
      <c r="F300"/>
    </row>
    <row r="301" spans="1:6" x14ac:dyDescent="0.25">
      <c r="A301" s="7"/>
      <c r="B301" s="7"/>
      <c r="C301"/>
      <c r="D301"/>
      <c r="E301"/>
      <c r="F301"/>
    </row>
    <row r="302" spans="1:6" x14ac:dyDescent="0.25">
      <c r="A302" s="7"/>
      <c r="B302" s="7"/>
      <c r="C302"/>
      <c r="D302"/>
      <c r="E302"/>
      <c r="F302"/>
    </row>
    <row r="303" spans="1:6" x14ac:dyDescent="0.25">
      <c r="A303" s="7"/>
      <c r="B303" s="7"/>
      <c r="C303"/>
      <c r="D303"/>
      <c r="E303"/>
      <c r="F303"/>
    </row>
    <row r="304" spans="1:6" x14ac:dyDescent="0.25">
      <c r="A304" s="7"/>
      <c r="B304" s="7"/>
      <c r="C304"/>
      <c r="D304"/>
      <c r="E304"/>
      <c r="F304"/>
    </row>
    <row r="305" spans="1:6" x14ac:dyDescent="0.25">
      <c r="A305" s="7"/>
      <c r="B305" s="7"/>
      <c r="C305"/>
      <c r="D305"/>
      <c r="E305"/>
      <c r="F305"/>
    </row>
    <row r="306" spans="1:6" x14ac:dyDescent="0.25">
      <c r="A306" s="7"/>
      <c r="B306" s="7"/>
      <c r="C306"/>
      <c r="D306"/>
      <c r="E306"/>
      <c r="F306"/>
    </row>
    <row r="307" spans="1:6" x14ac:dyDescent="0.25">
      <c r="A307" s="7"/>
      <c r="B307" s="7"/>
      <c r="C307"/>
      <c r="D307"/>
      <c r="E307"/>
      <c r="F307"/>
    </row>
    <row r="308" spans="1:6" x14ac:dyDescent="0.25">
      <c r="A308" s="7"/>
      <c r="B308" s="7"/>
      <c r="C308"/>
      <c r="D308"/>
      <c r="E308"/>
      <c r="F308"/>
    </row>
    <row r="309" spans="1:6" x14ac:dyDescent="0.25">
      <c r="A309" s="7"/>
      <c r="B309" s="7"/>
      <c r="C309"/>
      <c r="D309"/>
      <c r="E309"/>
      <c r="F309"/>
    </row>
    <row r="310" spans="1:6" x14ac:dyDescent="0.25">
      <c r="A310" s="7"/>
      <c r="B310" s="7"/>
      <c r="C310"/>
      <c r="D310"/>
      <c r="E310"/>
      <c r="F310"/>
    </row>
    <row r="311" spans="1:6" x14ac:dyDescent="0.25">
      <c r="A311" s="7"/>
      <c r="B311" s="7"/>
      <c r="C311"/>
      <c r="D311"/>
      <c r="E311"/>
      <c r="F311"/>
    </row>
    <row r="312" spans="1:6" x14ac:dyDescent="0.25">
      <c r="A312" s="7"/>
      <c r="B312" s="7"/>
      <c r="C312"/>
      <c r="D312"/>
      <c r="E312"/>
      <c r="F312"/>
    </row>
    <row r="313" spans="1:6" x14ac:dyDescent="0.25">
      <c r="A313" s="7"/>
      <c r="B313" s="7"/>
      <c r="C313"/>
      <c r="D313"/>
      <c r="E313"/>
      <c r="F313"/>
    </row>
    <row r="314" spans="1:6" x14ac:dyDescent="0.25">
      <c r="A314" s="7"/>
      <c r="B314" s="7"/>
      <c r="C314"/>
      <c r="D314"/>
      <c r="E314"/>
      <c r="F314"/>
    </row>
    <row r="315" spans="1:6" x14ac:dyDescent="0.25">
      <c r="A315" s="7"/>
      <c r="B315" s="7"/>
      <c r="C315"/>
      <c r="D315"/>
      <c r="E315"/>
      <c r="F315"/>
    </row>
    <row r="316" spans="1:6" x14ac:dyDescent="0.25">
      <c r="A316" s="7"/>
      <c r="B316" s="7"/>
      <c r="C316"/>
      <c r="D316"/>
      <c r="E316"/>
      <c r="F316"/>
    </row>
    <row r="317" spans="1:6" x14ac:dyDescent="0.25">
      <c r="A317" s="7"/>
      <c r="B317" s="7"/>
      <c r="C317"/>
      <c r="D317"/>
      <c r="E317"/>
      <c r="F317"/>
    </row>
    <row r="318" spans="1:6" x14ac:dyDescent="0.25">
      <c r="A318" s="7"/>
      <c r="B318" s="7"/>
      <c r="C318"/>
      <c r="D318"/>
      <c r="E318"/>
      <c r="F318"/>
    </row>
    <row r="319" spans="1:6" x14ac:dyDescent="0.25">
      <c r="A319" s="7"/>
      <c r="B319" s="7"/>
      <c r="C319"/>
      <c r="D319"/>
      <c r="E319"/>
      <c r="F319"/>
    </row>
    <row r="320" spans="1:6" x14ac:dyDescent="0.25">
      <c r="A320" s="7"/>
      <c r="B320" s="7"/>
      <c r="C320"/>
      <c r="D320"/>
      <c r="E320"/>
      <c r="F320"/>
    </row>
    <row r="321" spans="1:6" x14ac:dyDescent="0.25">
      <c r="A321" s="7"/>
      <c r="B321" s="7"/>
      <c r="C321"/>
      <c r="D321"/>
      <c r="E321"/>
      <c r="F321"/>
    </row>
    <row r="322" spans="1:6" x14ac:dyDescent="0.25">
      <c r="A322" s="7"/>
      <c r="B322" s="7"/>
      <c r="C322"/>
      <c r="D322"/>
      <c r="E322"/>
      <c r="F322"/>
    </row>
    <row r="323" spans="1:6" x14ac:dyDescent="0.25">
      <c r="A323" s="7"/>
      <c r="B323" s="7"/>
      <c r="C323"/>
      <c r="D323"/>
      <c r="E323"/>
      <c r="F323"/>
    </row>
    <row r="324" spans="1:6" x14ac:dyDescent="0.25">
      <c r="A324" s="7"/>
      <c r="B324" s="7"/>
      <c r="C324"/>
      <c r="D324"/>
      <c r="E324"/>
      <c r="F324"/>
    </row>
    <row r="325" spans="1:6" x14ac:dyDescent="0.25">
      <c r="A325" s="7"/>
      <c r="B325" s="7"/>
      <c r="C325"/>
      <c r="D325"/>
      <c r="E325"/>
      <c r="F325"/>
    </row>
    <row r="326" spans="1:6" x14ac:dyDescent="0.25">
      <c r="A326" s="7"/>
      <c r="B326" s="7"/>
      <c r="C326"/>
      <c r="D326"/>
      <c r="E326"/>
      <c r="F326"/>
    </row>
    <row r="327" spans="1:6" x14ac:dyDescent="0.25">
      <c r="A327" s="7"/>
      <c r="B327" s="7"/>
      <c r="C327"/>
      <c r="D327"/>
      <c r="E327"/>
      <c r="F327"/>
    </row>
    <row r="328" spans="1:6" x14ac:dyDescent="0.25">
      <c r="A328" s="7"/>
      <c r="B328" s="7"/>
      <c r="C328"/>
      <c r="D328"/>
      <c r="E328"/>
      <c r="F328"/>
    </row>
    <row r="329" spans="1:6" x14ac:dyDescent="0.25">
      <c r="A329" s="7"/>
      <c r="B329" s="7"/>
      <c r="C329"/>
      <c r="D329"/>
      <c r="E329"/>
      <c r="F329"/>
    </row>
    <row r="330" spans="1:6" x14ac:dyDescent="0.25">
      <c r="A330" s="7"/>
      <c r="B330" s="7"/>
      <c r="C330"/>
      <c r="D330"/>
      <c r="E330"/>
      <c r="F330"/>
    </row>
    <row r="331" spans="1:6" x14ac:dyDescent="0.25">
      <c r="A331" s="7"/>
      <c r="B331" s="7"/>
      <c r="C331"/>
      <c r="D331"/>
      <c r="E331"/>
      <c r="F331"/>
    </row>
    <row r="332" spans="1:6" x14ac:dyDescent="0.25">
      <c r="A332" s="7"/>
      <c r="B332" s="7"/>
      <c r="C332"/>
      <c r="D332"/>
      <c r="E332"/>
      <c r="F332"/>
    </row>
    <row r="333" spans="1:6" x14ac:dyDescent="0.25">
      <c r="A333" s="7"/>
      <c r="B333" s="7"/>
      <c r="C333"/>
      <c r="D333"/>
      <c r="E333"/>
      <c r="F333"/>
    </row>
    <row r="334" spans="1:6" x14ac:dyDescent="0.25">
      <c r="A334" s="7"/>
      <c r="B334" s="7"/>
      <c r="C334"/>
      <c r="D334"/>
      <c r="E334"/>
      <c r="F334"/>
    </row>
    <row r="335" spans="1:6" x14ac:dyDescent="0.25">
      <c r="A335" s="7"/>
      <c r="B335" s="7"/>
      <c r="C335"/>
      <c r="D335"/>
      <c r="E335"/>
      <c r="F335"/>
    </row>
    <row r="336" spans="1:6" x14ac:dyDescent="0.25">
      <c r="A336" s="7"/>
      <c r="B336" s="7"/>
      <c r="C336"/>
      <c r="D336"/>
      <c r="E336"/>
      <c r="F336"/>
    </row>
    <row r="337" spans="1:6" x14ac:dyDescent="0.25">
      <c r="A337" s="7"/>
      <c r="B337" s="7"/>
      <c r="C337"/>
      <c r="D337"/>
      <c r="E337"/>
      <c r="F337"/>
    </row>
    <row r="338" spans="1:6" x14ac:dyDescent="0.25">
      <c r="A338" s="7"/>
      <c r="B338" s="7"/>
      <c r="C338"/>
      <c r="D338"/>
      <c r="E338"/>
      <c r="F338"/>
    </row>
    <row r="339" spans="1:6" x14ac:dyDescent="0.25">
      <c r="A339" s="7"/>
      <c r="B339" s="7"/>
      <c r="C339"/>
      <c r="D339"/>
      <c r="E339"/>
      <c r="F339"/>
    </row>
    <row r="340" spans="1:6" x14ac:dyDescent="0.25">
      <c r="A340" s="7"/>
      <c r="B340" s="7"/>
      <c r="C340"/>
      <c r="D340"/>
      <c r="E340"/>
      <c r="F340"/>
    </row>
    <row r="341" spans="1:6" x14ac:dyDescent="0.25">
      <c r="A341" s="7"/>
      <c r="B341" s="7"/>
      <c r="C341"/>
      <c r="D341"/>
      <c r="E341"/>
      <c r="F341"/>
    </row>
    <row r="342" spans="1:6" x14ac:dyDescent="0.25">
      <c r="A342" s="7"/>
      <c r="B342" s="7"/>
      <c r="C342"/>
      <c r="D342"/>
      <c r="E342"/>
      <c r="F342"/>
    </row>
    <row r="343" spans="1:6" x14ac:dyDescent="0.25">
      <c r="A343" s="7"/>
      <c r="B343" s="7"/>
      <c r="C343"/>
      <c r="D343"/>
      <c r="E343"/>
      <c r="F343"/>
    </row>
    <row r="344" spans="1:6" x14ac:dyDescent="0.25">
      <c r="A344" s="7"/>
      <c r="B344" s="7"/>
      <c r="C344"/>
      <c r="D344"/>
      <c r="E344"/>
      <c r="F344"/>
    </row>
    <row r="345" spans="1:6" x14ac:dyDescent="0.25">
      <c r="A345" s="7"/>
      <c r="B345" s="7"/>
      <c r="C345"/>
      <c r="D345"/>
      <c r="E345"/>
      <c r="F345"/>
    </row>
    <row r="346" spans="1:6" x14ac:dyDescent="0.25">
      <c r="A346" s="7"/>
      <c r="B346" s="7"/>
      <c r="C346"/>
      <c r="D346"/>
      <c r="E346"/>
      <c r="F346"/>
    </row>
    <row r="347" spans="1:6" x14ac:dyDescent="0.25">
      <c r="A347" s="7"/>
      <c r="B347" s="7"/>
      <c r="C347"/>
      <c r="D347"/>
      <c r="E347"/>
      <c r="F347"/>
    </row>
    <row r="348" spans="1:6" x14ac:dyDescent="0.25">
      <c r="A348" s="7"/>
      <c r="B348" s="7"/>
      <c r="C348"/>
      <c r="D348"/>
      <c r="E348"/>
      <c r="F348"/>
    </row>
    <row r="349" spans="1:6" x14ac:dyDescent="0.25">
      <c r="A349" s="7"/>
      <c r="B349" s="7"/>
      <c r="C349"/>
      <c r="D349"/>
      <c r="E349"/>
      <c r="F349"/>
    </row>
    <row r="350" spans="1:6" x14ac:dyDescent="0.25">
      <c r="A350" s="7"/>
      <c r="B350" s="7"/>
      <c r="C350"/>
      <c r="D350"/>
      <c r="E350"/>
      <c r="F350"/>
    </row>
    <row r="351" spans="1:6" x14ac:dyDescent="0.25">
      <c r="A351" s="7"/>
      <c r="B351" s="7"/>
      <c r="C351"/>
      <c r="D351"/>
      <c r="E351"/>
      <c r="F351"/>
    </row>
    <row r="352" spans="1:6" x14ac:dyDescent="0.25">
      <c r="A352" s="7"/>
      <c r="B352" s="7"/>
      <c r="C352"/>
      <c r="D352"/>
      <c r="E352"/>
      <c r="F352"/>
    </row>
    <row r="353" spans="1:6" x14ac:dyDescent="0.25">
      <c r="A353" s="7"/>
      <c r="B353" s="7"/>
      <c r="C353"/>
      <c r="D353"/>
      <c r="E353"/>
      <c r="F353"/>
    </row>
    <row r="354" spans="1:6" x14ac:dyDescent="0.25">
      <c r="A354" s="7"/>
      <c r="B354" s="7"/>
      <c r="C354"/>
      <c r="D354"/>
      <c r="E354"/>
      <c r="F354"/>
    </row>
    <row r="355" spans="1:6" x14ac:dyDescent="0.25">
      <c r="A355" s="7"/>
      <c r="B355" s="7"/>
      <c r="C355"/>
      <c r="D355"/>
      <c r="E355"/>
      <c r="F355"/>
    </row>
    <row r="356" spans="1:6" x14ac:dyDescent="0.25">
      <c r="A356" s="7"/>
      <c r="B356" s="7"/>
      <c r="C356"/>
      <c r="D356"/>
      <c r="E356"/>
      <c r="F356"/>
    </row>
    <row r="357" spans="1:6" x14ac:dyDescent="0.25">
      <c r="A357" s="7"/>
      <c r="B357" s="7"/>
      <c r="C357"/>
      <c r="D357"/>
      <c r="E357"/>
      <c r="F357"/>
    </row>
    <row r="358" spans="1:6" x14ac:dyDescent="0.25">
      <c r="A358" s="7"/>
      <c r="B358" s="7"/>
      <c r="C358"/>
      <c r="D358"/>
      <c r="E358"/>
      <c r="F358"/>
    </row>
    <row r="359" spans="1:6" x14ac:dyDescent="0.25">
      <c r="A359" s="7"/>
      <c r="B359" s="7"/>
      <c r="C359"/>
      <c r="D359"/>
      <c r="E359"/>
      <c r="F359"/>
    </row>
    <row r="360" spans="1:6" x14ac:dyDescent="0.25">
      <c r="A360" s="7"/>
      <c r="B360" s="7"/>
      <c r="C360"/>
      <c r="D360"/>
      <c r="E360"/>
      <c r="F360"/>
    </row>
    <row r="361" spans="1:6" x14ac:dyDescent="0.25">
      <c r="A361" s="7"/>
      <c r="B361" s="7"/>
      <c r="C361"/>
      <c r="D361"/>
      <c r="E361"/>
      <c r="F361"/>
    </row>
    <row r="362" spans="1:6" x14ac:dyDescent="0.25">
      <c r="A362" s="7"/>
      <c r="B362" s="7"/>
      <c r="C362"/>
      <c r="D362"/>
      <c r="E362"/>
      <c r="F362"/>
    </row>
    <row r="363" spans="1:6" x14ac:dyDescent="0.25">
      <c r="A363" s="7"/>
      <c r="B363" s="7"/>
      <c r="C363"/>
      <c r="D363"/>
      <c r="E363"/>
      <c r="F363"/>
    </row>
    <row r="364" spans="1:6" x14ac:dyDescent="0.25">
      <c r="A364" s="7"/>
      <c r="B364" s="7"/>
      <c r="C364"/>
      <c r="D364"/>
      <c r="E364"/>
      <c r="F364"/>
    </row>
    <row r="365" spans="1:6" x14ac:dyDescent="0.25">
      <c r="A365" s="7"/>
      <c r="B365" s="7"/>
      <c r="C365"/>
      <c r="D365"/>
      <c r="E365"/>
      <c r="F365"/>
    </row>
    <row r="366" spans="1:6" x14ac:dyDescent="0.25">
      <c r="A366" s="7"/>
      <c r="B366" s="7"/>
      <c r="C366"/>
      <c r="D366"/>
      <c r="E366"/>
      <c r="F366"/>
    </row>
    <row r="367" spans="1:6" x14ac:dyDescent="0.25">
      <c r="A367" s="7"/>
      <c r="B367" s="7"/>
      <c r="C367"/>
      <c r="D367"/>
      <c r="E367"/>
      <c r="F367"/>
    </row>
    <row r="368" spans="1:6" x14ac:dyDescent="0.25">
      <c r="A368" s="7"/>
      <c r="B368" s="7"/>
      <c r="C368"/>
      <c r="D368"/>
      <c r="E368"/>
      <c r="F368"/>
    </row>
    <row r="369" spans="1:6" x14ac:dyDescent="0.25">
      <c r="A369" s="7"/>
      <c r="B369" s="7"/>
      <c r="C369"/>
      <c r="D369"/>
      <c r="E369"/>
      <c r="F369"/>
    </row>
    <row r="370" spans="1:6" x14ac:dyDescent="0.25">
      <c r="A370" s="7"/>
      <c r="B370" s="7"/>
      <c r="C370"/>
      <c r="D370"/>
      <c r="E370"/>
      <c r="F370"/>
    </row>
    <row r="371" spans="1:6" x14ac:dyDescent="0.25">
      <c r="A371" s="7"/>
      <c r="B371" s="7"/>
      <c r="C371"/>
      <c r="D371"/>
      <c r="E371"/>
      <c r="F371"/>
    </row>
    <row r="372" spans="1:6" x14ac:dyDescent="0.25">
      <c r="A372" s="7"/>
      <c r="B372" s="7"/>
      <c r="C372"/>
      <c r="D372"/>
      <c r="E372"/>
      <c r="F372"/>
    </row>
    <row r="373" spans="1:6" x14ac:dyDescent="0.25">
      <c r="A373" s="7"/>
      <c r="B373" s="7"/>
      <c r="C373"/>
      <c r="D373"/>
      <c r="E373"/>
      <c r="F373"/>
    </row>
    <row r="374" spans="1:6" x14ac:dyDescent="0.25">
      <c r="A374" s="7"/>
      <c r="B374" s="7"/>
      <c r="C374"/>
      <c r="D374"/>
      <c r="E374"/>
      <c r="F374"/>
    </row>
    <row r="375" spans="1:6" x14ac:dyDescent="0.25">
      <c r="A375" s="7"/>
      <c r="B375" s="7"/>
      <c r="C375"/>
      <c r="D375"/>
      <c r="E375"/>
      <c r="F375"/>
    </row>
    <row r="376" spans="1:6" x14ac:dyDescent="0.25">
      <c r="A376" s="7"/>
      <c r="B376" s="7"/>
      <c r="C376"/>
      <c r="D376"/>
      <c r="E376"/>
      <c r="F376"/>
    </row>
    <row r="377" spans="1:6" x14ac:dyDescent="0.25">
      <c r="A377" s="7"/>
      <c r="B377" s="7"/>
      <c r="C377"/>
      <c r="D377"/>
      <c r="E377"/>
      <c r="F377"/>
    </row>
    <row r="378" spans="1:6" x14ac:dyDescent="0.25">
      <c r="A378" s="7"/>
      <c r="B378" s="7"/>
      <c r="C378"/>
      <c r="D378"/>
      <c r="E378"/>
      <c r="F378"/>
    </row>
    <row r="379" spans="1:6" x14ac:dyDescent="0.25">
      <c r="A379" s="7"/>
      <c r="B379" s="7"/>
      <c r="C379"/>
      <c r="D379"/>
      <c r="E379"/>
      <c r="F379"/>
    </row>
    <row r="380" spans="1:6" x14ac:dyDescent="0.25">
      <c r="A380" s="7"/>
      <c r="B380" s="7"/>
      <c r="C380"/>
      <c r="D380"/>
      <c r="E380"/>
      <c r="F380"/>
    </row>
    <row r="381" spans="1:6" x14ac:dyDescent="0.25">
      <c r="A381" s="7"/>
      <c r="B381" s="7"/>
      <c r="C381"/>
      <c r="D381"/>
      <c r="E381"/>
      <c r="F381"/>
    </row>
    <row r="382" spans="1:6" x14ac:dyDescent="0.25">
      <c r="A382" s="7"/>
      <c r="B382" s="7"/>
      <c r="C382"/>
      <c r="D382"/>
      <c r="E382"/>
      <c r="F382"/>
    </row>
    <row r="383" spans="1:6" x14ac:dyDescent="0.25">
      <c r="A383" s="7"/>
      <c r="B383" s="7"/>
      <c r="C383"/>
      <c r="D383"/>
      <c r="E383"/>
      <c r="F383"/>
    </row>
    <row r="384" spans="1:6" x14ac:dyDescent="0.25">
      <c r="A384" s="7"/>
      <c r="B384" s="7"/>
      <c r="C384"/>
      <c r="D384"/>
      <c r="E384"/>
      <c r="F384"/>
    </row>
    <row r="385" spans="1:6" x14ac:dyDescent="0.25">
      <c r="A385" s="7"/>
      <c r="B385" s="7"/>
      <c r="C385"/>
      <c r="D385"/>
      <c r="E385"/>
      <c r="F385"/>
    </row>
    <row r="386" spans="1:6" x14ac:dyDescent="0.25">
      <c r="A386" s="7"/>
      <c r="B386" s="7"/>
      <c r="C386"/>
      <c r="D386"/>
      <c r="E386"/>
      <c r="F386"/>
    </row>
    <row r="387" spans="1:6" x14ac:dyDescent="0.25">
      <c r="A387" s="7"/>
      <c r="B387" s="7"/>
      <c r="C387"/>
      <c r="D387"/>
      <c r="E387"/>
      <c r="F387"/>
    </row>
    <row r="388" spans="1:6" x14ac:dyDescent="0.25">
      <c r="A388" s="7"/>
      <c r="B388" s="7"/>
      <c r="C388"/>
      <c r="D388"/>
      <c r="E388"/>
      <c r="F388"/>
    </row>
    <row r="389" spans="1:6" x14ac:dyDescent="0.25">
      <c r="A389" s="7"/>
      <c r="B389" s="7"/>
      <c r="C389"/>
      <c r="D389"/>
      <c r="E389"/>
      <c r="F389"/>
    </row>
    <row r="390" spans="1:6" x14ac:dyDescent="0.25">
      <c r="A390" s="7"/>
      <c r="B390" s="7"/>
      <c r="C390"/>
      <c r="D390"/>
      <c r="E390"/>
      <c r="F390"/>
    </row>
    <row r="391" spans="1:6" x14ac:dyDescent="0.25">
      <c r="A391" s="7"/>
      <c r="B391" s="7"/>
      <c r="C391"/>
      <c r="D391"/>
      <c r="E391"/>
      <c r="F391"/>
    </row>
    <row r="392" spans="1:6" x14ac:dyDescent="0.25">
      <c r="A392" s="7"/>
      <c r="B392" s="7"/>
      <c r="C392"/>
      <c r="D392"/>
      <c r="E392"/>
      <c r="F392"/>
    </row>
    <row r="393" spans="1:6" x14ac:dyDescent="0.25">
      <c r="A393" s="7"/>
      <c r="B393" s="7"/>
      <c r="C393"/>
      <c r="D393"/>
      <c r="E393"/>
      <c r="F393"/>
    </row>
    <row r="394" spans="1:6" x14ac:dyDescent="0.25">
      <c r="A394" s="7"/>
      <c r="B394" s="7"/>
      <c r="C394"/>
      <c r="D394"/>
      <c r="E394"/>
      <c r="F394"/>
    </row>
    <row r="395" spans="1:6" x14ac:dyDescent="0.25">
      <c r="A395" s="7"/>
      <c r="B395" s="7"/>
      <c r="C395"/>
      <c r="D395"/>
      <c r="E395"/>
      <c r="F395"/>
    </row>
    <row r="396" spans="1:6" x14ac:dyDescent="0.25">
      <c r="A396" s="7"/>
      <c r="B396" s="7"/>
      <c r="C396"/>
      <c r="D396"/>
      <c r="E396"/>
      <c r="F396"/>
    </row>
    <row r="397" spans="1:6" x14ac:dyDescent="0.25">
      <c r="A397" s="7"/>
      <c r="B397" s="7"/>
      <c r="C397"/>
      <c r="D397"/>
      <c r="E397"/>
      <c r="F397"/>
    </row>
    <row r="398" spans="1:6" x14ac:dyDescent="0.25">
      <c r="A398" s="7"/>
      <c r="B398" s="7"/>
      <c r="C398"/>
      <c r="D398"/>
      <c r="E398"/>
      <c r="F398"/>
    </row>
    <row r="399" spans="1:6" x14ac:dyDescent="0.25">
      <c r="A399" s="7"/>
      <c r="B399" s="7"/>
      <c r="C399"/>
      <c r="D399"/>
      <c r="E399"/>
      <c r="F399"/>
    </row>
    <row r="400" spans="1:6" x14ac:dyDescent="0.25">
      <c r="A400" s="7"/>
      <c r="B400" s="7"/>
      <c r="C400"/>
      <c r="D400"/>
      <c r="E400"/>
      <c r="F400"/>
    </row>
    <row r="401" spans="1:6" x14ac:dyDescent="0.25">
      <c r="A401" s="7"/>
      <c r="B401" s="7"/>
      <c r="C401"/>
      <c r="D401"/>
      <c r="E401"/>
      <c r="F401"/>
    </row>
    <row r="402" spans="1:6" x14ac:dyDescent="0.25">
      <c r="A402" s="7"/>
      <c r="B402" s="7"/>
      <c r="C402"/>
      <c r="D402"/>
      <c r="E402"/>
      <c r="F402"/>
    </row>
    <row r="403" spans="1:6" x14ac:dyDescent="0.25">
      <c r="A403" s="7"/>
      <c r="B403" s="10"/>
    </row>
    <row r="404" spans="1:6" x14ac:dyDescent="0.25">
      <c r="A404" s="7"/>
      <c r="B404" s="10"/>
    </row>
    <row r="405" spans="1:6" x14ac:dyDescent="0.25">
      <c r="A405" s="7"/>
      <c r="B405" s="10"/>
    </row>
    <row r="406" spans="1:6" x14ac:dyDescent="0.25">
      <c r="A406" s="10"/>
      <c r="B406" s="10"/>
    </row>
    <row r="407" spans="1:6" x14ac:dyDescent="0.25">
      <c r="A407" s="10"/>
      <c r="B407" s="10"/>
    </row>
    <row r="408" spans="1:6" x14ac:dyDescent="0.25">
      <c r="A408" s="10"/>
      <c r="B408" s="10"/>
    </row>
    <row r="409" spans="1:6" x14ac:dyDescent="0.25">
      <c r="A409" s="10"/>
      <c r="B409" s="10"/>
    </row>
    <row r="410" spans="1:6" x14ac:dyDescent="0.25">
      <c r="A410" s="10"/>
      <c r="B410" s="10"/>
    </row>
    <row r="411" spans="1:6" x14ac:dyDescent="0.25">
      <c r="A411" s="10"/>
      <c r="B411" s="10"/>
    </row>
    <row r="412" spans="1:6" x14ac:dyDescent="0.25">
      <c r="A412" s="10"/>
      <c r="B412" s="10"/>
    </row>
    <row r="413" spans="1:6" x14ac:dyDescent="0.25">
      <c r="A413" s="10"/>
      <c r="B413" s="10"/>
    </row>
    <row r="414" spans="1:6" x14ac:dyDescent="0.25">
      <c r="A414" s="10"/>
      <c r="B414" s="10"/>
    </row>
    <row r="415" spans="1:6" x14ac:dyDescent="0.25">
      <c r="A415" s="10"/>
      <c r="B415" s="10"/>
    </row>
    <row r="416" spans="1:6" x14ac:dyDescent="0.25">
      <c r="A416" s="10"/>
      <c r="B416" s="10"/>
    </row>
    <row r="417" spans="1:2" x14ac:dyDescent="0.25">
      <c r="A417" s="10"/>
      <c r="B417" s="10"/>
    </row>
    <row r="418" spans="1:2" x14ac:dyDescent="0.25">
      <c r="A418" s="10"/>
      <c r="B418" s="10"/>
    </row>
    <row r="419" spans="1:2" x14ac:dyDescent="0.25">
      <c r="A419" s="10"/>
      <c r="B419" s="10"/>
    </row>
    <row r="420" spans="1:2" x14ac:dyDescent="0.25">
      <c r="A420" s="10"/>
      <c r="B420" s="10"/>
    </row>
    <row r="421" spans="1:2" x14ac:dyDescent="0.25">
      <c r="A421" s="10"/>
      <c r="B421" s="10"/>
    </row>
    <row r="422" spans="1:2" x14ac:dyDescent="0.25">
      <c r="A422" s="10"/>
      <c r="B422" s="10"/>
    </row>
    <row r="423" spans="1:2" x14ac:dyDescent="0.25">
      <c r="A423" s="10"/>
      <c r="B423" s="10"/>
    </row>
    <row r="424" spans="1:2" x14ac:dyDescent="0.25">
      <c r="A424" s="10"/>
      <c r="B424" s="10"/>
    </row>
    <row r="425" spans="1:2" x14ac:dyDescent="0.25">
      <c r="A425" s="10"/>
      <c r="B425" s="10"/>
    </row>
    <row r="426" spans="1:2" x14ac:dyDescent="0.25">
      <c r="A426" s="10"/>
      <c r="B426" s="10"/>
    </row>
    <row r="427" spans="1:2" x14ac:dyDescent="0.25">
      <c r="A427" s="10"/>
      <c r="B427" s="10"/>
    </row>
    <row r="428" spans="1:2" x14ac:dyDescent="0.25">
      <c r="A428" s="10"/>
      <c r="B428" s="10"/>
    </row>
  </sheetData>
  <autoFilter ref="A1:I40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68"/>
  <sheetViews>
    <sheetView workbookViewId="0">
      <selection activeCell="D2" sqref="D2"/>
    </sheetView>
  </sheetViews>
  <sheetFormatPr defaultRowHeight="15" x14ac:dyDescent="0.25"/>
  <cols>
    <col min="1" max="1" width="122.5703125" bestFit="1" customWidth="1"/>
    <col min="2" max="3" width="14.7109375" bestFit="1" customWidth="1"/>
  </cols>
  <sheetData>
    <row r="1" spans="1:4" x14ac:dyDescent="0.25">
      <c r="A1" s="9" t="s">
        <v>13</v>
      </c>
      <c r="B1" s="9" t="s">
        <v>11</v>
      </c>
      <c r="C1" s="9" t="s">
        <v>1</v>
      </c>
      <c r="D1" s="3" t="s">
        <v>14</v>
      </c>
    </row>
    <row r="2" spans="1:4" x14ac:dyDescent="0.25">
      <c r="D2" t="b">
        <f>NOT(ISNA(VLOOKUP(A2, FindFilesForAct!L:L, 1, FALSE)))</f>
        <v>0</v>
      </c>
    </row>
    <row r="3" spans="1:4" x14ac:dyDescent="0.25">
      <c r="D3" s="7"/>
    </row>
    <row r="4" spans="1:4" x14ac:dyDescent="0.25">
      <c r="D4" s="7"/>
    </row>
    <row r="5" spans="1:4" x14ac:dyDescent="0.25">
      <c r="D5" s="7"/>
    </row>
    <row r="6" spans="1:4" x14ac:dyDescent="0.25">
      <c r="D6" s="7"/>
    </row>
    <row r="7" spans="1:4" x14ac:dyDescent="0.25">
      <c r="D7" s="7"/>
    </row>
    <row r="8" spans="1:4" x14ac:dyDescent="0.25">
      <c r="D8" s="7"/>
    </row>
    <row r="9" spans="1:4" x14ac:dyDescent="0.25">
      <c r="D9" s="7"/>
    </row>
    <row r="10" spans="1:4" x14ac:dyDescent="0.25">
      <c r="D10" s="7"/>
    </row>
    <row r="11" spans="1:4" x14ac:dyDescent="0.25">
      <c r="D11" s="7"/>
    </row>
    <row r="12" spans="1:4" x14ac:dyDescent="0.25">
      <c r="D12" s="7"/>
    </row>
    <row r="13" spans="1:4" x14ac:dyDescent="0.25">
      <c r="D13" s="7"/>
    </row>
    <row r="14" spans="1:4" x14ac:dyDescent="0.25">
      <c r="D14" s="7"/>
    </row>
    <row r="15" spans="1:4" x14ac:dyDescent="0.25">
      <c r="D15" s="7"/>
    </row>
    <row r="16" spans="1:4" x14ac:dyDescent="0.25">
      <c r="D16" s="7"/>
    </row>
    <row r="17" spans="4:4" x14ac:dyDescent="0.25">
      <c r="D17" s="7"/>
    </row>
    <row r="18" spans="4:4" x14ac:dyDescent="0.25">
      <c r="D18" s="7"/>
    </row>
    <row r="19" spans="4:4" x14ac:dyDescent="0.25">
      <c r="D19" s="7"/>
    </row>
    <row r="20" spans="4:4" x14ac:dyDescent="0.25">
      <c r="D20" s="7"/>
    </row>
    <row r="21" spans="4:4" x14ac:dyDescent="0.25">
      <c r="D21" s="7"/>
    </row>
    <row r="22" spans="4:4" x14ac:dyDescent="0.25">
      <c r="D22" s="7"/>
    </row>
    <row r="23" spans="4:4" x14ac:dyDescent="0.25">
      <c r="D23" s="7"/>
    </row>
    <row r="24" spans="4:4" x14ac:dyDescent="0.25">
      <c r="D24" s="7"/>
    </row>
    <row r="25" spans="4:4" x14ac:dyDescent="0.25">
      <c r="D25" s="7"/>
    </row>
    <row r="26" spans="4:4" x14ac:dyDescent="0.25">
      <c r="D26" s="7"/>
    </row>
    <row r="27" spans="4:4" x14ac:dyDescent="0.25">
      <c r="D27" s="7"/>
    </row>
    <row r="28" spans="4:4" x14ac:dyDescent="0.25">
      <c r="D28" s="7"/>
    </row>
    <row r="29" spans="4:4" x14ac:dyDescent="0.25">
      <c r="D29" s="7"/>
    </row>
    <row r="30" spans="4:4" x14ac:dyDescent="0.25">
      <c r="D30" s="7"/>
    </row>
    <row r="31" spans="4:4" x14ac:dyDescent="0.25">
      <c r="D31" s="7"/>
    </row>
    <row r="32" spans="4:4" x14ac:dyDescent="0.25">
      <c r="D32" s="7"/>
    </row>
    <row r="33" spans="4:4" x14ac:dyDescent="0.25">
      <c r="D33" s="7"/>
    </row>
    <row r="34" spans="4:4" x14ac:dyDescent="0.25">
      <c r="D34" s="7"/>
    </row>
    <row r="35" spans="4:4" x14ac:dyDescent="0.25">
      <c r="D35" s="7"/>
    </row>
    <row r="36" spans="4:4" x14ac:dyDescent="0.25">
      <c r="D36" s="7"/>
    </row>
    <row r="37" spans="4:4" x14ac:dyDescent="0.25">
      <c r="D37" s="7"/>
    </row>
    <row r="38" spans="4:4" x14ac:dyDescent="0.25">
      <c r="D38" s="7"/>
    </row>
    <row r="39" spans="4:4" x14ac:dyDescent="0.25">
      <c r="D39" s="7"/>
    </row>
    <row r="40" spans="4:4" x14ac:dyDescent="0.25">
      <c r="D40" s="7"/>
    </row>
    <row r="41" spans="4:4" x14ac:dyDescent="0.25">
      <c r="D41" s="7"/>
    </row>
    <row r="42" spans="4:4" x14ac:dyDescent="0.25">
      <c r="D42" s="7"/>
    </row>
    <row r="43" spans="4:4" x14ac:dyDescent="0.25">
      <c r="D43" s="7"/>
    </row>
    <row r="44" spans="4:4" x14ac:dyDescent="0.25">
      <c r="D44" s="7"/>
    </row>
    <row r="45" spans="4:4" x14ac:dyDescent="0.25">
      <c r="D45" s="7"/>
    </row>
    <row r="46" spans="4:4" x14ac:dyDescent="0.25">
      <c r="D46" s="7"/>
    </row>
    <row r="47" spans="4:4" x14ac:dyDescent="0.25">
      <c r="D47" s="7"/>
    </row>
    <row r="48" spans="4:4" x14ac:dyDescent="0.25">
      <c r="D48" s="7"/>
    </row>
    <row r="49" spans="4:4" x14ac:dyDescent="0.25">
      <c r="D49" s="7"/>
    </row>
    <row r="50" spans="4:4" x14ac:dyDescent="0.25">
      <c r="D50" s="7"/>
    </row>
    <row r="51" spans="4:4" x14ac:dyDescent="0.25">
      <c r="D51" s="7"/>
    </row>
    <row r="52" spans="4:4" x14ac:dyDescent="0.25">
      <c r="D52" s="7"/>
    </row>
    <row r="53" spans="4:4" x14ac:dyDescent="0.25">
      <c r="D53" s="7"/>
    </row>
    <row r="54" spans="4:4" x14ac:dyDescent="0.25">
      <c r="D54" s="7"/>
    </row>
    <row r="55" spans="4:4" x14ac:dyDescent="0.25">
      <c r="D55" s="7"/>
    </row>
    <row r="56" spans="4:4" x14ac:dyDescent="0.25">
      <c r="D56" s="7"/>
    </row>
    <row r="57" spans="4:4" x14ac:dyDescent="0.25">
      <c r="D57" s="7"/>
    </row>
    <row r="58" spans="4:4" x14ac:dyDescent="0.25">
      <c r="D58" s="7"/>
    </row>
    <row r="59" spans="4:4" x14ac:dyDescent="0.25">
      <c r="D59" s="7"/>
    </row>
    <row r="60" spans="4:4" x14ac:dyDescent="0.25">
      <c r="D60" s="7"/>
    </row>
    <row r="61" spans="4:4" x14ac:dyDescent="0.25">
      <c r="D61" s="7"/>
    </row>
    <row r="62" spans="4:4" x14ac:dyDescent="0.25">
      <c r="D62" s="7"/>
    </row>
    <row r="63" spans="4:4" x14ac:dyDescent="0.25">
      <c r="D63" s="7"/>
    </row>
    <row r="64" spans="4:4" x14ac:dyDescent="0.25">
      <c r="D64" s="7"/>
    </row>
    <row r="65" spans="4:4" x14ac:dyDescent="0.25">
      <c r="D65" s="7"/>
    </row>
    <row r="66" spans="4:4" x14ac:dyDescent="0.25">
      <c r="D66" s="7"/>
    </row>
    <row r="67" spans="4:4" x14ac:dyDescent="0.25">
      <c r="D67" s="7"/>
    </row>
    <row r="68" spans="4:4" x14ac:dyDescent="0.25">
      <c r="D68" s="7"/>
    </row>
    <row r="69" spans="4:4" x14ac:dyDescent="0.25">
      <c r="D69" s="7"/>
    </row>
    <row r="70" spans="4:4" x14ac:dyDescent="0.25">
      <c r="D70" s="7"/>
    </row>
    <row r="71" spans="4:4" x14ac:dyDescent="0.25">
      <c r="D71" s="7"/>
    </row>
    <row r="72" spans="4:4" x14ac:dyDescent="0.25">
      <c r="D72" s="7"/>
    </row>
    <row r="73" spans="4:4" x14ac:dyDescent="0.25">
      <c r="D73" s="7"/>
    </row>
    <row r="74" spans="4:4" x14ac:dyDescent="0.25">
      <c r="D74" s="7"/>
    </row>
    <row r="75" spans="4:4" x14ac:dyDescent="0.25">
      <c r="D75" s="7"/>
    </row>
    <row r="76" spans="4:4" x14ac:dyDescent="0.25">
      <c r="D76" s="7"/>
    </row>
    <row r="77" spans="4:4" x14ac:dyDescent="0.25">
      <c r="D77" s="7"/>
    </row>
    <row r="78" spans="4:4" x14ac:dyDescent="0.25">
      <c r="D78" s="7"/>
    </row>
    <row r="79" spans="4:4" x14ac:dyDescent="0.25">
      <c r="D79" s="7"/>
    </row>
    <row r="80" spans="4:4" x14ac:dyDescent="0.25">
      <c r="D80" s="7"/>
    </row>
    <row r="81" spans="4:4" x14ac:dyDescent="0.25">
      <c r="D81" s="7"/>
    </row>
    <row r="82" spans="4:4" x14ac:dyDescent="0.25">
      <c r="D82" s="7"/>
    </row>
    <row r="83" spans="4:4" x14ac:dyDescent="0.25">
      <c r="D83" s="7"/>
    </row>
    <row r="84" spans="4:4" x14ac:dyDescent="0.25">
      <c r="D84" s="7"/>
    </row>
    <row r="85" spans="4:4" x14ac:dyDescent="0.25">
      <c r="D85" s="7"/>
    </row>
    <row r="86" spans="4:4" x14ac:dyDescent="0.25">
      <c r="D86" s="7"/>
    </row>
    <row r="87" spans="4:4" x14ac:dyDescent="0.25">
      <c r="D87" s="7"/>
    </row>
    <row r="88" spans="4:4" x14ac:dyDescent="0.25">
      <c r="D88" s="7"/>
    </row>
    <row r="89" spans="4:4" x14ac:dyDescent="0.25">
      <c r="D89" s="7"/>
    </row>
    <row r="90" spans="4:4" x14ac:dyDescent="0.25">
      <c r="D90" s="7"/>
    </row>
    <row r="91" spans="4:4" x14ac:dyDescent="0.25">
      <c r="D91" s="7"/>
    </row>
    <row r="92" spans="4:4" x14ac:dyDescent="0.25">
      <c r="D92" s="7"/>
    </row>
    <row r="93" spans="4:4" x14ac:dyDescent="0.25">
      <c r="D93" s="7"/>
    </row>
    <row r="94" spans="4:4" x14ac:dyDescent="0.25">
      <c r="D94" s="7"/>
    </row>
    <row r="95" spans="4:4" x14ac:dyDescent="0.25">
      <c r="D95" s="7"/>
    </row>
    <row r="96" spans="4:4" x14ac:dyDescent="0.25">
      <c r="D96" s="7"/>
    </row>
    <row r="97" spans="4:4" x14ac:dyDescent="0.25">
      <c r="D97" s="7"/>
    </row>
    <row r="98" spans="4:4" x14ac:dyDescent="0.25">
      <c r="D98" s="7"/>
    </row>
    <row r="99" spans="4:4" x14ac:dyDescent="0.25">
      <c r="D99" s="7"/>
    </row>
    <row r="100" spans="4:4" x14ac:dyDescent="0.25">
      <c r="D100" s="7"/>
    </row>
    <row r="101" spans="4:4" x14ac:dyDescent="0.25">
      <c r="D101" s="7"/>
    </row>
    <row r="102" spans="4:4" x14ac:dyDescent="0.25">
      <c r="D102" s="7"/>
    </row>
    <row r="103" spans="4:4" x14ac:dyDescent="0.25">
      <c r="D103" s="7"/>
    </row>
    <row r="104" spans="4:4" x14ac:dyDescent="0.25">
      <c r="D104" s="7"/>
    </row>
    <row r="105" spans="4:4" x14ac:dyDescent="0.25">
      <c r="D105" s="7"/>
    </row>
    <row r="106" spans="4:4" x14ac:dyDescent="0.25">
      <c r="D106" s="7"/>
    </row>
    <row r="107" spans="4:4" x14ac:dyDescent="0.25">
      <c r="D107" s="7"/>
    </row>
    <row r="108" spans="4:4" x14ac:dyDescent="0.25">
      <c r="D108" s="7"/>
    </row>
    <row r="109" spans="4:4" x14ac:dyDescent="0.25">
      <c r="D109" s="7"/>
    </row>
    <row r="110" spans="4:4" x14ac:dyDescent="0.25">
      <c r="D110" s="7"/>
    </row>
    <row r="111" spans="4:4" x14ac:dyDescent="0.25">
      <c r="D111" s="7"/>
    </row>
    <row r="112" spans="4:4" x14ac:dyDescent="0.25">
      <c r="D112" s="7"/>
    </row>
    <row r="113" spans="4:4" x14ac:dyDescent="0.25">
      <c r="D113" s="7"/>
    </row>
    <row r="114" spans="4:4" x14ac:dyDescent="0.25">
      <c r="D114" s="7"/>
    </row>
    <row r="115" spans="4:4" x14ac:dyDescent="0.25">
      <c r="D115" s="7"/>
    </row>
    <row r="116" spans="4:4" x14ac:dyDescent="0.25">
      <c r="D116" s="7"/>
    </row>
    <row r="117" spans="4:4" x14ac:dyDescent="0.25">
      <c r="D117" s="7"/>
    </row>
    <row r="118" spans="4:4" x14ac:dyDescent="0.25">
      <c r="D118" s="7"/>
    </row>
    <row r="119" spans="4:4" x14ac:dyDescent="0.25">
      <c r="D119" s="7"/>
    </row>
    <row r="120" spans="4:4" x14ac:dyDescent="0.25">
      <c r="D120" s="7"/>
    </row>
    <row r="121" spans="4:4" x14ac:dyDescent="0.25">
      <c r="D121" s="7"/>
    </row>
    <row r="122" spans="4:4" x14ac:dyDescent="0.25">
      <c r="D122" s="7"/>
    </row>
    <row r="123" spans="4:4" x14ac:dyDescent="0.25">
      <c r="D123" s="7"/>
    </row>
    <row r="124" spans="4:4" x14ac:dyDescent="0.25">
      <c r="D124" s="7"/>
    </row>
    <row r="125" spans="4:4" x14ac:dyDescent="0.25">
      <c r="D125" s="7"/>
    </row>
    <row r="126" spans="4:4" x14ac:dyDescent="0.25">
      <c r="D126" s="7"/>
    </row>
    <row r="127" spans="4:4" x14ac:dyDescent="0.25">
      <c r="D127" s="7"/>
    </row>
    <row r="128" spans="4:4" x14ac:dyDescent="0.25">
      <c r="D128" s="7"/>
    </row>
    <row r="129" spans="4:4" x14ac:dyDescent="0.25">
      <c r="D129" s="7"/>
    </row>
    <row r="130" spans="4:4" x14ac:dyDescent="0.25">
      <c r="D130" s="7"/>
    </row>
    <row r="131" spans="4:4" x14ac:dyDescent="0.25">
      <c r="D131" s="7"/>
    </row>
    <row r="132" spans="4:4" x14ac:dyDescent="0.25">
      <c r="D132" s="7"/>
    </row>
    <row r="133" spans="4:4" x14ac:dyDescent="0.25">
      <c r="D133" s="7"/>
    </row>
    <row r="134" spans="4:4" x14ac:dyDescent="0.25">
      <c r="D134" s="7"/>
    </row>
    <row r="135" spans="4:4" x14ac:dyDescent="0.25">
      <c r="D135" s="7"/>
    </row>
    <row r="136" spans="4:4" x14ac:dyDescent="0.25">
      <c r="D136" s="7"/>
    </row>
    <row r="137" spans="4:4" x14ac:dyDescent="0.25">
      <c r="D137" s="7"/>
    </row>
    <row r="138" spans="4:4" x14ac:dyDescent="0.25">
      <c r="D138" s="7"/>
    </row>
    <row r="139" spans="4:4" x14ac:dyDescent="0.25">
      <c r="D139" s="7"/>
    </row>
    <row r="140" spans="4:4" x14ac:dyDescent="0.25">
      <c r="D140" s="7"/>
    </row>
    <row r="141" spans="4:4" x14ac:dyDescent="0.25">
      <c r="D141" s="7"/>
    </row>
    <row r="142" spans="4:4" x14ac:dyDescent="0.25">
      <c r="D142" s="7"/>
    </row>
    <row r="143" spans="4:4" x14ac:dyDescent="0.25">
      <c r="D143" s="7"/>
    </row>
    <row r="144" spans="4:4" x14ac:dyDescent="0.25">
      <c r="D144" s="7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7"/>
    </row>
    <row r="268" spans="4:4" x14ac:dyDescent="0.25">
      <c r="D268" s="7"/>
    </row>
    <row r="269" spans="4:4" x14ac:dyDescent="0.25">
      <c r="D269" s="7"/>
    </row>
    <row r="270" spans="4:4" x14ac:dyDescent="0.25">
      <c r="D270" s="7"/>
    </row>
    <row r="271" spans="4:4" x14ac:dyDescent="0.25">
      <c r="D271" s="7"/>
    </row>
    <row r="272" spans="4:4" x14ac:dyDescent="0.25">
      <c r="D272" s="7"/>
    </row>
    <row r="273" spans="4:4" x14ac:dyDescent="0.25">
      <c r="D273" s="7"/>
    </row>
    <row r="274" spans="4:4" x14ac:dyDescent="0.25">
      <c r="D274" s="7"/>
    </row>
    <row r="275" spans="4:4" x14ac:dyDescent="0.25">
      <c r="D275" s="7"/>
    </row>
    <row r="276" spans="4:4" x14ac:dyDescent="0.25">
      <c r="D276" s="7"/>
    </row>
    <row r="277" spans="4:4" x14ac:dyDescent="0.25">
      <c r="D277" s="7"/>
    </row>
    <row r="278" spans="4:4" x14ac:dyDescent="0.25">
      <c r="D278" s="7"/>
    </row>
    <row r="279" spans="4:4" x14ac:dyDescent="0.25">
      <c r="D279" s="7"/>
    </row>
    <row r="280" spans="4:4" x14ac:dyDescent="0.25">
      <c r="D280" s="7"/>
    </row>
    <row r="281" spans="4:4" x14ac:dyDescent="0.25">
      <c r="D281" s="7"/>
    </row>
    <row r="282" spans="4:4" x14ac:dyDescent="0.25">
      <c r="D282" s="7"/>
    </row>
    <row r="283" spans="4:4" x14ac:dyDescent="0.25">
      <c r="D283" s="7"/>
    </row>
    <row r="284" spans="4:4" x14ac:dyDescent="0.25">
      <c r="D284" s="7"/>
    </row>
    <row r="285" spans="4:4" x14ac:dyDescent="0.25">
      <c r="D285" s="7"/>
    </row>
    <row r="286" spans="4:4" x14ac:dyDescent="0.25">
      <c r="D286" s="7"/>
    </row>
    <row r="287" spans="4:4" x14ac:dyDescent="0.25">
      <c r="D287" s="7"/>
    </row>
    <row r="288" spans="4:4" x14ac:dyDescent="0.25">
      <c r="D288" s="7"/>
    </row>
    <row r="289" spans="4:4" x14ac:dyDescent="0.25">
      <c r="D289" s="7"/>
    </row>
    <row r="290" spans="4:4" x14ac:dyDescent="0.25">
      <c r="D290" s="7"/>
    </row>
    <row r="291" spans="4:4" x14ac:dyDescent="0.25">
      <c r="D291" s="7"/>
    </row>
    <row r="292" spans="4:4" x14ac:dyDescent="0.25">
      <c r="D292" s="7"/>
    </row>
    <row r="293" spans="4:4" x14ac:dyDescent="0.25">
      <c r="D293" s="7"/>
    </row>
    <row r="294" spans="4:4" x14ac:dyDescent="0.25">
      <c r="D294" s="7"/>
    </row>
    <row r="295" spans="4:4" x14ac:dyDescent="0.25">
      <c r="D295" s="7"/>
    </row>
    <row r="296" spans="4:4" x14ac:dyDescent="0.25">
      <c r="D296" s="7"/>
    </row>
    <row r="297" spans="4:4" x14ac:dyDescent="0.25">
      <c r="D297" s="7"/>
    </row>
    <row r="298" spans="4:4" x14ac:dyDescent="0.25">
      <c r="D298" s="7"/>
    </row>
    <row r="299" spans="4:4" x14ac:dyDescent="0.25">
      <c r="D299" s="7"/>
    </row>
    <row r="300" spans="4:4" x14ac:dyDescent="0.25">
      <c r="D300" s="7"/>
    </row>
    <row r="301" spans="4:4" x14ac:dyDescent="0.25">
      <c r="D301" s="7"/>
    </row>
    <row r="302" spans="4:4" x14ac:dyDescent="0.25">
      <c r="D302" s="7"/>
    </row>
    <row r="303" spans="4:4" x14ac:dyDescent="0.25">
      <c r="D303" s="7"/>
    </row>
    <row r="304" spans="4:4" x14ac:dyDescent="0.25">
      <c r="D304" s="7"/>
    </row>
    <row r="305" spans="4:4" x14ac:dyDescent="0.25">
      <c r="D305" s="7"/>
    </row>
    <row r="306" spans="4:4" x14ac:dyDescent="0.25">
      <c r="D306" s="7"/>
    </row>
    <row r="307" spans="4:4" x14ac:dyDescent="0.25">
      <c r="D307" s="7"/>
    </row>
    <row r="308" spans="4:4" x14ac:dyDescent="0.25">
      <c r="D308" s="7"/>
    </row>
    <row r="309" spans="4:4" x14ac:dyDescent="0.25">
      <c r="D309" s="7"/>
    </row>
    <row r="310" spans="4:4" x14ac:dyDescent="0.25">
      <c r="D310" s="7"/>
    </row>
    <row r="311" spans="4:4" x14ac:dyDescent="0.25">
      <c r="D311" s="7"/>
    </row>
    <row r="312" spans="4:4" x14ac:dyDescent="0.25">
      <c r="D312" s="7"/>
    </row>
    <row r="313" spans="4:4" x14ac:dyDescent="0.25">
      <c r="D313" s="7"/>
    </row>
    <row r="314" spans="4:4" x14ac:dyDescent="0.25">
      <c r="D314" s="7"/>
    </row>
    <row r="315" spans="4:4" x14ac:dyDescent="0.25">
      <c r="D315" s="7"/>
    </row>
    <row r="316" spans="4:4" x14ac:dyDescent="0.25">
      <c r="D316" s="7"/>
    </row>
    <row r="317" spans="4:4" x14ac:dyDescent="0.25">
      <c r="D317" s="7"/>
    </row>
    <row r="318" spans="4:4" x14ac:dyDescent="0.25">
      <c r="D318" s="7"/>
    </row>
    <row r="319" spans="4:4" x14ac:dyDescent="0.25">
      <c r="D319" s="7"/>
    </row>
    <row r="320" spans="4:4" x14ac:dyDescent="0.25">
      <c r="D320" s="7"/>
    </row>
    <row r="321" spans="4:4" x14ac:dyDescent="0.25">
      <c r="D321" s="7"/>
    </row>
    <row r="322" spans="4:4" x14ac:dyDescent="0.25">
      <c r="D322" s="7"/>
    </row>
    <row r="323" spans="4:4" x14ac:dyDescent="0.25">
      <c r="D323" s="7"/>
    </row>
    <row r="324" spans="4:4" x14ac:dyDescent="0.25">
      <c r="D324" s="7"/>
    </row>
    <row r="325" spans="4:4" x14ac:dyDescent="0.25">
      <c r="D325" s="7"/>
    </row>
    <row r="326" spans="4:4" x14ac:dyDescent="0.25">
      <c r="D326" s="7"/>
    </row>
    <row r="327" spans="4:4" x14ac:dyDescent="0.25">
      <c r="D327" s="7"/>
    </row>
    <row r="328" spans="4:4" x14ac:dyDescent="0.25">
      <c r="D328" s="7"/>
    </row>
    <row r="329" spans="4:4" x14ac:dyDescent="0.25">
      <c r="D329" s="7"/>
    </row>
    <row r="330" spans="4:4" x14ac:dyDescent="0.25">
      <c r="D330" s="7"/>
    </row>
    <row r="331" spans="4:4" x14ac:dyDescent="0.25">
      <c r="D331" s="7"/>
    </row>
    <row r="332" spans="4:4" x14ac:dyDescent="0.25">
      <c r="D332" s="7"/>
    </row>
    <row r="333" spans="4:4" x14ac:dyDescent="0.25">
      <c r="D333" s="7"/>
    </row>
    <row r="334" spans="4:4" x14ac:dyDescent="0.25">
      <c r="D334" s="7"/>
    </row>
    <row r="335" spans="4:4" x14ac:dyDescent="0.25">
      <c r="D335" s="7"/>
    </row>
    <row r="336" spans="4:4" x14ac:dyDescent="0.25">
      <c r="D336" s="7"/>
    </row>
    <row r="337" spans="4:4" x14ac:dyDescent="0.25">
      <c r="D337" s="7"/>
    </row>
    <row r="338" spans="4:4" x14ac:dyDescent="0.25">
      <c r="D338" s="7"/>
    </row>
    <row r="339" spans="4:4" x14ac:dyDescent="0.25">
      <c r="D339" s="7"/>
    </row>
    <row r="340" spans="4:4" x14ac:dyDescent="0.25">
      <c r="D340" s="7"/>
    </row>
    <row r="341" spans="4:4" x14ac:dyDescent="0.25">
      <c r="D341" s="7"/>
    </row>
    <row r="342" spans="4:4" x14ac:dyDescent="0.25">
      <c r="D342" s="7"/>
    </row>
    <row r="343" spans="4:4" x14ac:dyDescent="0.25">
      <c r="D343" s="7"/>
    </row>
    <row r="344" spans="4:4" x14ac:dyDescent="0.25">
      <c r="D344" s="7"/>
    </row>
    <row r="345" spans="4:4" x14ac:dyDescent="0.25">
      <c r="D345" s="7"/>
    </row>
    <row r="346" spans="4:4" x14ac:dyDescent="0.25">
      <c r="D346" s="7"/>
    </row>
    <row r="347" spans="4:4" x14ac:dyDescent="0.25">
      <c r="D347" s="7"/>
    </row>
    <row r="348" spans="4:4" x14ac:dyDescent="0.25">
      <c r="D348" s="7"/>
    </row>
    <row r="349" spans="4:4" x14ac:dyDescent="0.25">
      <c r="D349" s="7"/>
    </row>
    <row r="350" spans="4:4" x14ac:dyDescent="0.25">
      <c r="D350" s="7"/>
    </row>
    <row r="351" spans="4:4" x14ac:dyDescent="0.25">
      <c r="D351" s="7"/>
    </row>
    <row r="352" spans="4:4" x14ac:dyDescent="0.25">
      <c r="D352" s="7"/>
    </row>
    <row r="353" spans="4:4" x14ac:dyDescent="0.25">
      <c r="D353" s="7"/>
    </row>
    <row r="354" spans="4:4" x14ac:dyDescent="0.25">
      <c r="D354" s="7"/>
    </row>
    <row r="355" spans="4:4" x14ac:dyDescent="0.25">
      <c r="D355" s="7"/>
    </row>
    <row r="356" spans="4:4" x14ac:dyDescent="0.25">
      <c r="D356" s="7"/>
    </row>
    <row r="357" spans="4:4" x14ac:dyDescent="0.25">
      <c r="D357" s="7"/>
    </row>
    <row r="358" spans="4:4" x14ac:dyDescent="0.25">
      <c r="D358" s="7"/>
    </row>
    <row r="359" spans="4:4" x14ac:dyDescent="0.25">
      <c r="D359" s="7"/>
    </row>
    <row r="360" spans="4:4" x14ac:dyDescent="0.25">
      <c r="D360" s="7"/>
    </row>
    <row r="361" spans="4:4" x14ac:dyDescent="0.25">
      <c r="D361" s="7"/>
    </row>
    <row r="362" spans="4:4" x14ac:dyDescent="0.25">
      <c r="D362" s="7"/>
    </row>
    <row r="363" spans="4:4" x14ac:dyDescent="0.25">
      <c r="D363" s="7"/>
    </row>
    <row r="364" spans="4:4" x14ac:dyDescent="0.25">
      <c r="D364" s="7"/>
    </row>
    <row r="365" spans="4:4" x14ac:dyDescent="0.25">
      <c r="D365" s="7"/>
    </row>
    <row r="366" spans="4:4" x14ac:dyDescent="0.25">
      <c r="D366" s="7"/>
    </row>
    <row r="367" spans="4:4" x14ac:dyDescent="0.25">
      <c r="D367" s="7"/>
    </row>
    <row r="368" spans="4:4" x14ac:dyDescent="0.25">
      <c r="D368" s="7"/>
    </row>
  </sheetData>
  <autoFilter ref="A1:D36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5"/>
  <sheetViews>
    <sheetView topLeftCell="C1" workbookViewId="0">
      <selection activeCell="G2" sqref="G2"/>
    </sheetView>
  </sheetViews>
  <sheetFormatPr defaultRowHeight="15" x14ac:dyDescent="0.25"/>
  <cols>
    <col min="1" max="2" width="14.7109375" bestFit="1" customWidth="1"/>
    <col min="3" max="3" width="39.85546875" bestFit="1" customWidth="1"/>
    <col min="4" max="4" width="24.7109375" bestFit="1" customWidth="1"/>
    <col min="5" max="5" width="68" bestFit="1" customWidth="1"/>
    <col min="6" max="6" width="25.28515625" bestFit="1" customWidth="1"/>
  </cols>
  <sheetData>
    <row r="1" spans="1:7" x14ac:dyDescent="0.25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3" t="s">
        <v>54</v>
      </c>
    </row>
    <row r="2" spans="1:7" x14ac:dyDescent="0.25">
      <c r="A2" s="7"/>
      <c r="B2" s="7"/>
      <c r="C2" s="7"/>
      <c r="D2" s="7"/>
      <c r="E2" s="7"/>
      <c r="F2" s="7"/>
      <c r="G2" t="e">
        <f>VLOOKUP(F2, StateSortOrder!A:B,2,FALSE)</f>
        <v>#N/A</v>
      </c>
    </row>
    <row r="3" spans="1:7" x14ac:dyDescent="0.25">
      <c r="A3" s="7"/>
      <c r="B3" s="7"/>
      <c r="C3" s="7"/>
      <c r="D3" s="7"/>
      <c r="E3" s="7"/>
      <c r="F3" s="7"/>
    </row>
    <row r="4" spans="1:7" x14ac:dyDescent="0.25">
      <c r="A4" s="7"/>
      <c r="B4" s="7"/>
      <c r="C4" s="7"/>
      <c r="D4" s="7"/>
      <c r="E4" s="7"/>
      <c r="F4" s="7"/>
    </row>
    <row r="5" spans="1:7" x14ac:dyDescent="0.25">
      <c r="A5" s="7"/>
      <c r="B5" s="7"/>
      <c r="C5" s="7"/>
      <c r="D5" s="7"/>
      <c r="E5" s="7"/>
      <c r="F5" s="7"/>
    </row>
    <row r="6" spans="1:7" x14ac:dyDescent="0.25">
      <c r="A6" s="7"/>
      <c r="B6" s="7"/>
      <c r="C6" s="7"/>
      <c r="D6" s="7"/>
      <c r="E6" s="7"/>
      <c r="F6" s="7"/>
    </row>
    <row r="7" spans="1:7" x14ac:dyDescent="0.25">
      <c r="A7" s="7"/>
      <c r="B7" s="7"/>
      <c r="C7" s="7"/>
      <c r="D7" s="7"/>
      <c r="E7" s="7"/>
      <c r="F7" s="7"/>
    </row>
    <row r="8" spans="1:7" x14ac:dyDescent="0.25">
      <c r="A8" s="7"/>
      <c r="B8" s="7"/>
      <c r="C8" s="7"/>
      <c r="D8" s="7"/>
      <c r="E8" s="7"/>
      <c r="F8" s="7"/>
    </row>
    <row r="9" spans="1:7" x14ac:dyDescent="0.25">
      <c r="A9" s="7"/>
      <c r="B9" s="7"/>
      <c r="C9" s="7"/>
      <c r="D9" s="7"/>
      <c r="E9" s="7"/>
      <c r="F9" s="7"/>
    </row>
    <row r="10" spans="1:7" x14ac:dyDescent="0.25">
      <c r="A10" s="7"/>
      <c r="B10" s="7"/>
      <c r="C10" s="7"/>
      <c r="D10" s="7"/>
      <c r="E10" s="7"/>
      <c r="F10" s="7"/>
    </row>
    <row r="11" spans="1:7" x14ac:dyDescent="0.25">
      <c r="A11" s="7"/>
      <c r="B11" s="7"/>
      <c r="C11" s="7"/>
      <c r="D11" s="7"/>
      <c r="E11" s="7"/>
      <c r="F11" s="7"/>
    </row>
    <row r="12" spans="1:7" x14ac:dyDescent="0.25">
      <c r="A12" s="7"/>
      <c r="B12" s="7"/>
      <c r="C12" s="7"/>
      <c r="D12" s="7"/>
      <c r="E12" s="7"/>
      <c r="F12" s="7"/>
    </row>
    <row r="13" spans="1:7" x14ac:dyDescent="0.25">
      <c r="A13" s="7"/>
      <c r="B13" s="7"/>
      <c r="C13" s="7"/>
      <c r="D13" s="7"/>
      <c r="E13" s="7"/>
      <c r="F13" s="7"/>
    </row>
    <row r="14" spans="1:7" x14ac:dyDescent="0.25">
      <c r="A14" s="7"/>
      <c r="B14" s="7"/>
      <c r="C14" s="7"/>
      <c r="D14" s="7"/>
      <c r="E14" s="7"/>
      <c r="F14" s="7"/>
    </row>
    <row r="15" spans="1:7" x14ac:dyDescent="0.25">
      <c r="A15" s="7"/>
      <c r="B15" s="7"/>
      <c r="C15" s="7"/>
      <c r="D15" s="7"/>
      <c r="E15" s="7"/>
      <c r="F15" s="7"/>
    </row>
    <row r="16" spans="1:7" x14ac:dyDescent="0.25">
      <c r="A16" s="7"/>
      <c r="B16" s="7"/>
      <c r="C16" s="7"/>
      <c r="D16" s="7"/>
      <c r="E16" s="7"/>
      <c r="F16" s="7"/>
    </row>
    <row r="17" spans="1:6" x14ac:dyDescent="0.25">
      <c r="A17" s="7"/>
      <c r="B17" s="7"/>
      <c r="C17" s="7"/>
      <c r="D17" s="7"/>
      <c r="E17" s="7"/>
      <c r="F17" s="7"/>
    </row>
    <row r="18" spans="1:6" x14ac:dyDescent="0.25">
      <c r="A18" s="7"/>
      <c r="B18" s="7"/>
      <c r="C18" s="7"/>
      <c r="D18" s="7"/>
      <c r="E18" s="7"/>
      <c r="F18" s="7"/>
    </row>
    <row r="19" spans="1:6" x14ac:dyDescent="0.25">
      <c r="A19" s="7"/>
      <c r="B19" s="7"/>
      <c r="C19" s="7"/>
      <c r="D19" s="7"/>
      <c r="E19" s="7"/>
      <c r="F19" s="7"/>
    </row>
    <row r="20" spans="1:6" x14ac:dyDescent="0.25">
      <c r="A20" s="7"/>
      <c r="B20" s="7"/>
      <c r="C20" s="7"/>
      <c r="D20" s="7"/>
      <c r="E20" s="7"/>
      <c r="F20" s="7"/>
    </row>
    <row r="21" spans="1:6" x14ac:dyDescent="0.25">
      <c r="A21" s="7"/>
      <c r="B21" s="7"/>
      <c r="C21" s="7"/>
      <c r="D21" s="7"/>
      <c r="E21" s="7"/>
      <c r="F21" s="7"/>
    </row>
    <row r="22" spans="1:6" x14ac:dyDescent="0.25">
      <c r="A22" s="7"/>
      <c r="B22" s="7"/>
      <c r="C22" s="7"/>
      <c r="D22" s="7"/>
      <c r="E22" s="7"/>
      <c r="F22" s="7"/>
    </row>
    <row r="23" spans="1:6" x14ac:dyDescent="0.25">
      <c r="A23" s="7"/>
      <c r="B23" s="7"/>
      <c r="C23" s="7"/>
      <c r="D23" s="7"/>
      <c r="E23" s="7"/>
      <c r="F23" s="7"/>
    </row>
    <row r="24" spans="1:6" x14ac:dyDescent="0.25">
      <c r="A24" s="7"/>
      <c r="B24" s="7"/>
      <c r="C24" s="7"/>
      <c r="D24" s="7"/>
      <c r="E24" s="7"/>
      <c r="F24" s="7"/>
    </row>
    <row r="25" spans="1:6" x14ac:dyDescent="0.25">
      <c r="A25" s="7"/>
      <c r="B25" s="7"/>
      <c r="C25" s="7"/>
      <c r="D25" s="7"/>
      <c r="E25" s="7"/>
      <c r="F25" s="7"/>
    </row>
    <row r="26" spans="1:6" x14ac:dyDescent="0.25">
      <c r="A26" s="7"/>
      <c r="B26" s="7"/>
      <c r="C26" s="7"/>
      <c r="D26" s="7"/>
      <c r="E26" s="7"/>
      <c r="F26" s="7"/>
    </row>
    <row r="27" spans="1:6" x14ac:dyDescent="0.25">
      <c r="A27" s="7"/>
      <c r="B27" s="7"/>
      <c r="C27" s="7"/>
      <c r="D27" s="7"/>
      <c r="E27" s="7"/>
      <c r="F27" s="7"/>
    </row>
    <row r="28" spans="1:6" x14ac:dyDescent="0.25">
      <c r="A28" s="7"/>
      <c r="B28" s="7"/>
      <c r="C28" s="7"/>
      <c r="D28" s="7"/>
      <c r="E28" s="7"/>
      <c r="F28" s="7"/>
    </row>
    <row r="29" spans="1:6" x14ac:dyDescent="0.25">
      <c r="A29" s="7"/>
      <c r="B29" s="7"/>
      <c r="C29" s="7"/>
      <c r="D29" s="7"/>
      <c r="E29" s="7"/>
      <c r="F29" s="7"/>
    </row>
    <row r="30" spans="1:6" x14ac:dyDescent="0.25">
      <c r="A30" s="7"/>
      <c r="B30" s="7"/>
      <c r="C30" s="7"/>
      <c r="D30" s="7"/>
      <c r="E30" s="7"/>
      <c r="F30" s="7"/>
    </row>
    <row r="31" spans="1:6" x14ac:dyDescent="0.25">
      <c r="A31" s="7"/>
      <c r="B31" s="7"/>
      <c r="C31" s="7"/>
      <c r="D31" s="7"/>
      <c r="E31" s="7"/>
      <c r="F31" s="7"/>
    </row>
    <row r="32" spans="1:6" x14ac:dyDescent="0.25">
      <c r="A32" s="7"/>
      <c r="B32" s="7"/>
      <c r="C32" s="7"/>
      <c r="D32" s="7"/>
      <c r="E32" s="7"/>
      <c r="F32" s="7"/>
    </row>
    <row r="33" spans="1:6" x14ac:dyDescent="0.25">
      <c r="A33" s="7"/>
      <c r="B33" s="7"/>
      <c r="C33" s="7"/>
      <c r="D33" s="7"/>
      <c r="E33" s="7"/>
      <c r="F33" s="7"/>
    </row>
    <row r="34" spans="1:6" x14ac:dyDescent="0.25">
      <c r="A34" s="7"/>
      <c r="B34" s="7"/>
      <c r="C34" s="7"/>
      <c r="D34" s="7"/>
      <c r="E34" s="7"/>
      <c r="F34" s="7"/>
    </row>
    <row r="35" spans="1:6" x14ac:dyDescent="0.25">
      <c r="A35" s="7"/>
      <c r="B35" s="7"/>
      <c r="C35" s="7"/>
      <c r="D35" s="7"/>
      <c r="E35" s="7"/>
      <c r="F35" s="7"/>
    </row>
  </sheetData>
  <autoFilter ref="A1:G35"/>
  <sortState ref="A2:G35">
    <sortCondition ref="B1"/>
    <sortCondition ref="G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"/>
  <sheetViews>
    <sheetView tabSelected="1" topLeftCell="AB1" zoomScale="80" zoomScaleNormal="80" workbookViewId="0">
      <selection activeCell="AJ2" sqref="AJ2"/>
    </sheetView>
  </sheetViews>
  <sheetFormatPr defaultRowHeight="12.75" customHeight="1" x14ac:dyDescent="0.25"/>
  <cols>
    <col min="1" max="1" width="23.28515625" bestFit="1" customWidth="1"/>
    <col min="2" max="2" width="29.85546875" customWidth="1"/>
    <col min="3" max="3" width="23" bestFit="1" customWidth="1"/>
    <col min="4" max="5" width="23" customWidth="1"/>
    <col min="6" max="6" width="30.28515625" bestFit="1" customWidth="1"/>
    <col min="7" max="7" width="107.7109375" bestFit="1" customWidth="1"/>
    <col min="8" max="8" width="9.140625" style="7" customWidth="1"/>
    <col min="9" max="9" width="9.140625" customWidth="1"/>
    <col min="10" max="11" width="16.42578125" customWidth="1"/>
    <col min="12" max="12" width="255.7109375" bestFit="1" customWidth="1"/>
    <col min="13" max="13" width="50.7109375" customWidth="1"/>
    <col min="14" max="14" width="255.7109375" bestFit="1" customWidth="1"/>
    <col min="15" max="15" width="24" bestFit="1" customWidth="1"/>
    <col min="16" max="19" width="18.85546875" customWidth="1"/>
    <col min="20" max="20" width="34.28515625" customWidth="1"/>
    <col min="21" max="22" width="18.85546875" customWidth="1"/>
    <col min="23" max="23" width="19" bestFit="1" customWidth="1"/>
    <col min="24" max="24" width="15" bestFit="1" customWidth="1"/>
    <col min="25" max="25" width="28.140625" bestFit="1" customWidth="1"/>
    <col min="26" max="26" width="18.140625" bestFit="1" customWidth="1"/>
    <col min="27" max="27" width="29.5703125" bestFit="1" customWidth="1"/>
    <col min="28" max="28" width="41" bestFit="1" customWidth="1"/>
    <col min="29" max="29" width="18.140625" bestFit="1" customWidth="1"/>
    <col min="30" max="30" width="16.28515625" bestFit="1" customWidth="1"/>
    <col min="31" max="31" width="27.42578125" bestFit="1" customWidth="1"/>
    <col min="32" max="32" width="17.28515625" bestFit="1" customWidth="1"/>
    <col min="33" max="33" width="40.42578125" bestFit="1" customWidth="1"/>
    <col min="34" max="34" width="23.85546875" bestFit="1" customWidth="1"/>
    <col min="35" max="35" width="18" customWidth="1"/>
  </cols>
  <sheetData>
    <row r="1" spans="1:36" ht="12.75" customHeight="1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53</v>
      </c>
      <c r="F1" s="1" t="s">
        <v>21</v>
      </c>
      <c r="G1" s="1" t="s">
        <v>22</v>
      </c>
      <c r="H1" s="1" t="s">
        <v>55</v>
      </c>
      <c r="I1" s="1" t="s">
        <v>51</v>
      </c>
      <c r="J1" s="1" t="s">
        <v>52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Q1" s="1" t="s">
        <v>49</v>
      </c>
      <c r="R1" s="1" t="s">
        <v>50</v>
      </c>
      <c r="S1" s="8" t="s">
        <v>48</v>
      </c>
      <c r="T1" s="8" t="s">
        <v>43</v>
      </c>
      <c r="U1" s="8" t="s">
        <v>42</v>
      </c>
      <c r="V1" s="8" t="s">
        <v>47</v>
      </c>
      <c r="W1" s="2" t="s">
        <v>29</v>
      </c>
      <c r="X1" s="2" t="s">
        <v>30</v>
      </c>
      <c r="Y1" s="2" t="s">
        <v>31</v>
      </c>
      <c r="Z1" s="2" t="s">
        <v>32</v>
      </c>
      <c r="AA1" s="2" t="s">
        <v>33</v>
      </c>
      <c r="AB1" s="2" t="s">
        <v>34</v>
      </c>
      <c r="AC1" s="2" t="s">
        <v>35</v>
      </c>
      <c r="AD1" s="2" t="s">
        <v>36</v>
      </c>
      <c r="AE1" s="2" t="s">
        <v>37</v>
      </c>
      <c r="AF1" s="2" t="s">
        <v>38</v>
      </c>
      <c r="AG1" s="2" t="s">
        <v>39</v>
      </c>
      <c r="AH1" s="2" t="s">
        <v>40</v>
      </c>
      <c r="AI1" s="2" t="s">
        <v>41</v>
      </c>
      <c r="AJ1" s="2" t="s">
        <v>59</v>
      </c>
    </row>
    <row r="2" spans="1:36" ht="12.75" customHeight="1" x14ac:dyDescent="0.25">
      <c r="H2"/>
      <c r="W2" t="b">
        <f>ISERR(FIND("@@", L2))</f>
        <v>1</v>
      </c>
      <c r="X2" t="e">
        <f>IF( AND(W2, NOT(O2)), VLOOKUP(L2, Files!$A:$B, 2, FALSE), "")</f>
        <v>#N/A</v>
      </c>
      <c r="Y2" t="e">
        <f>IF(AND(W2, NOT(O2)), X2=C2, "")</f>
        <v>#N/A</v>
      </c>
      <c r="Z2" t="e">
        <f>IF( AND(W2, NOT(O2)), IF(NOT(Y2),VLOOKUP(L2,Files!$A:$G,7,FALSE), ""), "")</f>
        <v>#N/A</v>
      </c>
      <c r="AA2" t="b">
        <f>IF(W2, NOT(ISNA(VLOOKUP(C2, 'DA-DCAMapping'!$B:$B, 1, FALSE))), "")</f>
        <v>0</v>
      </c>
      <c r="AB2" t="b">
        <f>IF(AND(W2, NOT(O2)), AND(AA2,ISNA(X2)), "")</f>
        <v>0</v>
      </c>
      <c r="AC2" t="str">
        <f>IF(AND(W2,NOT(O2)),
    IF(AB2,
        Input!$C$5,
        IF(AND(ISNA(Z2),NOT(ISNA(X2))),
            "Check if missed in DA-DCA Mapping",
            IF(AND(ISNA(Z2), ISNA(X2)),
                "",
                Z2
            )
        )
    ),
"")</f>
        <v/>
      </c>
      <c r="AD2" t="e">
        <f>IF( AND(W2, O2), VLOOKUP(L2, Directories!$A:$B, 2, FALSE), "")</f>
        <v>#N/A</v>
      </c>
      <c r="AE2" t="e">
        <f>IF(AND(W2, O2), AD2=C2, "")</f>
        <v>#N/A</v>
      </c>
      <c r="AF2" t="e">
        <f>IF( AND(W2, O2), IF(NOT(AE2),VLOOKUP(L2,Directories!$A:$C,3,FALSE), ""), "")</f>
        <v>#N/A</v>
      </c>
      <c r="AG2" t="b">
        <f>IF(AND(W2, O2), AND(AA2,ISNA(AD2)), "")</f>
        <v>0</v>
      </c>
      <c r="AH2" t="str">
        <f>IF(AND(W2,O2),
    IF(AG2,
        Input!$C$5,
        IF(AND(ISNA(AF2),NOT(ISNA(AD2))),
            "Check if missed in DA-DCA Mapping",
            IF(AND(ISNA(AF2), ISNA(AD2)),
                "",
                AF2
            )
        )
    ),
"")</f>
        <v/>
      </c>
      <c r="AI2" t="str">
        <f>IF(O2, AH2, AC2)</f>
        <v/>
      </c>
      <c r="AJ2" t="str">
        <f>IF(NOT(W2),N2,"")</f>
        <v/>
      </c>
    </row>
  </sheetData>
  <autoFilter ref="A1:AJ2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sqref="A1:B4"/>
    </sheetView>
  </sheetViews>
  <sheetFormatPr defaultRowHeight="15" x14ac:dyDescent="0.25"/>
  <sheetData>
    <row r="1" spans="1:2" x14ac:dyDescent="0.25">
      <c r="A1" s="7" t="s">
        <v>8</v>
      </c>
      <c r="B1" s="7" t="s">
        <v>10</v>
      </c>
    </row>
    <row r="2" spans="1:2" x14ac:dyDescent="0.25">
      <c r="A2" s="7" t="s">
        <v>56</v>
      </c>
      <c r="B2" s="7">
        <v>1</v>
      </c>
    </row>
    <row r="3" spans="1:2" x14ac:dyDescent="0.25">
      <c r="A3" s="7" t="s">
        <v>57</v>
      </c>
      <c r="B3" s="7">
        <v>2</v>
      </c>
    </row>
    <row r="4" spans="1:2" x14ac:dyDescent="0.25">
      <c r="A4" s="7" t="s">
        <v>58</v>
      </c>
      <c r="B4" s="7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B9F6C2CC6B9A49A00D2C577390A7C9" ma:contentTypeVersion="0" ma:contentTypeDescription="Create a new document." ma:contentTypeScope="" ma:versionID="fcce25b0c4471e321b82e5863967722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95912F4-9635-495D-81ED-EEABA79A69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FD79396-41A0-4FE8-9AE1-5C11D90284FC}">
  <ds:schemaRefs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26B4826-7CAD-494E-B56E-6245409D6A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Files</vt:lpstr>
      <vt:lpstr>Directories</vt:lpstr>
      <vt:lpstr>DA-DCAMapping</vt:lpstr>
      <vt:lpstr>FindFilesForAct</vt:lpstr>
      <vt:lpstr>StateSortOrder</vt:lpstr>
    </vt:vector>
  </TitlesOfParts>
  <Company>OAGCS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Ln, Gnanesh</cp:lastModifiedBy>
  <dcterms:created xsi:type="dcterms:W3CDTF">2015-10-14T10:27:43Z</dcterms:created>
  <dcterms:modified xsi:type="dcterms:W3CDTF">2016-05-26T10:09:03Z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0x01010060B9F6C2CC6B9A49A00D2C577390A7C9</vt:lpwstr>
  </property>
</Properties>
</file>